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مدير الحياه\outputs\life-manager\"/>
    </mc:Choice>
  </mc:AlternateContent>
  <xr:revisionPtr revIDLastSave="0" documentId="8_{C3A3A9DF-9EB7-466A-A9A9-8964E7DF114D}" xr6:coauthVersionLast="36" xr6:coauthVersionMax="36" xr10:uidLastSave="{00000000-0000-0000-0000-000000000000}"/>
  <bookViews>
    <workbookView xWindow="0" yWindow="0" windowWidth="16500" windowHeight="6435" activeTab="6" xr2:uid="{00000000-000D-0000-FFFF-FFFF00000000}"/>
  </bookViews>
  <sheets>
    <sheet name="Dashboard" sheetId="1" r:id="rId1"/>
    <sheet name="الرصيد" sheetId="2" r:id="rId2"/>
    <sheet name="المدخرات والاستثمار" sheetId="3" r:id="rId3"/>
    <sheet name="الأهداف" sheetId="4" r:id="rId4"/>
    <sheet name="العادات" sheetId="5" r:id="rId5"/>
    <sheet name="الامتنان" sheetId="6" r:id="rId6"/>
    <sheet name="الميزانية" sheetId="7" r:id="rId7"/>
    <sheet name="الإعدادات" sheetId="8" r:id="rId8"/>
  </sheets>
  <calcPr calcId="191029"/>
  <fileRecoveryPr repairLoad="1"/>
</workbook>
</file>

<file path=xl/calcChain.xml><?xml version="1.0" encoding="utf-8"?>
<calcChain xmlns="http://schemas.openxmlformats.org/spreadsheetml/2006/main">
  <c r="F7" i="7" l="1"/>
  <c r="G7" i="7" s="1"/>
  <c r="B6" i="3"/>
  <c r="H6" i="3" s="1"/>
  <c r="J6" i="2"/>
  <c r="K6" i="2" s="1"/>
  <c r="L6" i="2" s="1"/>
  <c r="F185" i="7"/>
  <c r="G185" i="7" s="1"/>
  <c r="G184" i="7"/>
  <c r="F184" i="7"/>
  <c r="F183" i="7"/>
  <c r="G183" i="7" s="1"/>
  <c r="F182" i="7"/>
  <c r="G182" i="7" s="1"/>
  <c r="F181" i="7"/>
  <c r="G181" i="7" s="1"/>
  <c r="G180" i="7"/>
  <c r="F180" i="7"/>
  <c r="F179" i="7"/>
  <c r="G179" i="7" s="1"/>
  <c r="G178" i="7"/>
  <c r="F178" i="7"/>
  <c r="F177" i="7"/>
  <c r="G177" i="7" s="1"/>
  <c r="G176" i="7"/>
  <c r="F176" i="7"/>
  <c r="G175" i="7"/>
  <c r="F175" i="7"/>
  <c r="F174" i="7"/>
  <c r="G174" i="7" s="1"/>
  <c r="F173" i="7"/>
  <c r="G173" i="7" s="1"/>
  <c r="F172" i="7"/>
  <c r="G172" i="7" s="1"/>
  <c r="F171" i="7"/>
  <c r="G171" i="7" s="1"/>
  <c r="G170" i="7"/>
  <c r="F170" i="7"/>
  <c r="F169" i="7"/>
  <c r="G169" i="7" s="1"/>
  <c r="F168" i="7"/>
  <c r="G168" i="7" s="1"/>
  <c r="F167" i="7"/>
  <c r="G167" i="7" s="1"/>
  <c r="G166" i="7"/>
  <c r="F166" i="7"/>
  <c r="F165" i="7"/>
  <c r="G165" i="7" s="1"/>
  <c r="G164" i="7"/>
  <c r="F164" i="7"/>
  <c r="G163" i="7"/>
  <c r="F163" i="7"/>
  <c r="G162" i="7"/>
  <c r="F162" i="7"/>
  <c r="G161" i="7"/>
  <c r="F161" i="7"/>
  <c r="F160" i="7"/>
  <c r="G160" i="7" s="1"/>
  <c r="F159" i="7"/>
  <c r="G159" i="7" s="1"/>
  <c r="F158" i="7"/>
  <c r="G158" i="7" s="1"/>
  <c r="F157" i="7"/>
  <c r="G157" i="7" s="1"/>
  <c r="G156" i="7"/>
  <c r="F156" i="7"/>
  <c r="F155" i="7"/>
  <c r="G155" i="7" s="1"/>
  <c r="F154" i="7"/>
  <c r="G154" i="7" s="1"/>
  <c r="F153" i="7"/>
  <c r="G153" i="7" s="1"/>
  <c r="G152" i="7"/>
  <c r="F152" i="7"/>
  <c r="F151" i="7"/>
  <c r="G151" i="7" s="1"/>
  <c r="G150" i="7"/>
  <c r="F150" i="7"/>
  <c r="G149" i="7"/>
  <c r="F149" i="7"/>
  <c r="G148" i="7"/>
  <c r="F148" i="7"/>
  <c r="G147" i="7"/>
  <c r="F147" i="7"/>
  <c r="F146" i="7"/>
  <c r="G146" i="7" s="1"/>
  <c r="F145" i="7"/>
  <c r="G145" i="7" s="1"/>
  <c r="F144" i="7"/>
  <c r="G144" i="7" s="1"/>
  <c r="F143" i="7"/>
  <c r="G143" i="7" s="1"/>
  <c r="G142" i="7"/>
  <c r="F142" i="7"/>
  <c r="F141" i="7"/>
  <c r="G141" i="7" s="1"/>
  <c r="F140" i="7"/>
  <c r="G140" i="7" s="1"/>
  <c r="F139" i="7"/>
  <c r="G139" i="7" s="1"/>
  <c r="G138" i="7"/>
  <c r="F138" i="7"/>
  <c r="F137" i="7"/>
  <c r="G137" i="7" s="1"/>
  <c r="G136" i="7"/>
  <c r="F136" i="7"/>
  <c r="G135" i="7"/>
  <c r="F135" i="7"/>
  <c r="G134" i="7"/>
  <c r="F134" i="7"/>
  <c r="G133" i="7"/>
  <c r="F133" i="7"/>
  <c r="F132" i="7"/>
  <c r="G132" i="7" s="1"/>
  <c r="F131" i="7"/>
  <c r="G131" i="7" s="1"/>
  <c r="F130" i="7"/>
  <c r="G130" i="7" s="1"/>
  <c r="F129" i="7"/>
  <c r="G129" i="7" s="1"/>
  <c r="G128" i="7"/>
  <c r="F128" i="7"/>
  <c r="F127" i="7"/>
  <c r="G127" i="7" s="1"/>
  <c r="F126" i="7"/>
  <c r="G126" i="7" s="1"/>
  <c r="F125" i="7"/>
  <c r="G125" i="7" s="1"/>
  <c r="G124" i="7"/>
  <c r="F124" i="7"/>
  <c r="F123" i="7"/>
  <c r="G123" i="7" s="1"/>
  <c r="G122" i="7"/>
  <c r="F122" i="7"/>
  <c r="G121" i="7"/>
  <c r="F121" i="7"/>
  <c r="G120" i="7"/>
  <c r="F120" i="7"/>
  <c r="G119" i="7"/>
  <c r="F119" i="7"/>
  <c r="F118" i="7"/>
  <c r="G118" i="7" s="1"/>
  <c r="F117" i="7"/>
  <c r="G117" i="7" s="1"/>
  <c r="F116" i="7"/>
  <c r="G116" i="7" s="1"/>
  <c r="F115" i="7"/>
  <c r="G115" i="7" s="1"/>
  <c r="G114" i="7"/>
  <c r="F114" i="7"/>
  <c r="F113" i="7"/>
  <c r="G113" i="7" s="1"/>
  <c r="F112" i="7"/>
  <c r="G112" i="7" s="1"/>
  <c r="F111" i="7"/>
  <c r="G111" i="7" s="1"/>
  <c r="G110" i="7"/>
  <c r="F110" i="7"/>
  <c r="F109" i="7"/>
  <c r="G109" i="7" s="1"/>
  <c r="G108" i="7"/>
  <c r="F108" i="7"/>
  <c r="G107" i="7"/>
  <c r="F107" i="7"/>
  <c r="G106" i="7"/>
  <c r="F106" i="7"/>
  <c r="G105" i="7"/>
  <c r="F105" i="7"/>
  <c r="F104" i="7"/>
  <c r="G104" i="7" s="1"/>
  <c r="F103" i="7"/>
  <c r="G103" i="7" s="1"/>
  <c r="F102" i="7"/>
  <c r="G102" i="7" s="1"/>
  <c r="F101" i="7"/>
  <c r="G101" i="7" s="1"/>
  <c r="G100" i="7"/>
  <c r="F100" i="7"/>
  <c r="F99" i="7"/>
  <c r="G99" i="7" s="1"/>
  <c r="F98" i="7"/>
  <c r="G98" i="7" s="1"/>
  <c r="F97" i="7"/>
  <c r="G97" i="7" s="1"/>
  <c r="G96" i="7"/>
  <c r="F96" i="7"/>
  <c r="F95" i="7"/>
  <c r="G95" i="7" s="1"/>
  <c r="G94" i="7"/>
  <c r="F94" i="7"/>
  <c r="G93" i="7"/>
  <c r="F93" i="7"/>
  <c r="G92" i="7"/>
  <c r="F92" i="7"/>
  <c r="G91" i="7"/>
  <c r="F91" i="7"/>
  <c r="F90" i="7"/>
  <c r="G90" i="7" s="1"/>
  <c r="F89" i="7"/>
  <c r="G89" i="7" s="1"/>
  <c r="F88" i="7"/>
  <c r="G88" i="7" s="1"/>
  <c r="F87" i="7"/>
  <c r="G87" i="7" s="1"/>
  <c r="G86" i="7"/>
  <c r="F86" i="7"/>
  <c r="F85" i="7"/>
  <c r="G85" i="7" s="1"/>
  <c r="F84" i="7"/>
  <c r="G84" i="7" s="1"/>
  <c r="F83" i="7"/>
  <c r="G83" i="7" s="1"/>
  <c r="G82" i="7"/>
  <c r="F82" i="7"/>
  <c r="F81" i="7"/>
  <c r="G81" i="7" s="1"/>
  <c r="G80" i="7"/>
  <c r="F80" i="7"/>
  <c r="G79" i="7"/>
  <c r="F79" i="7"/>
  <c r="G78" i="7"/>
  <c r="F78" i="7"/>
  <c r="G77" i="7"/>
  <c r="F77" i="7"/>
  <c r="F76" i="7"/>
  <c r="G76" i="7" s="1"/>
  <c r="F75" i="7"/>
  <c r="G75" i="7" s="1"/>
  <c r="F74" i="7"/>
  <c r="G74" i="7" s="1"/>
  <c r="F73" i="7"/>
  <c r="G73" i="7" s="1"/>
  <c r="G72" i="7"/>
  <c r="F72" i="7"/>
  <c r="F71" i="7"/>
  <c r="G71" i="7" s="1"/>
  <c r="F70" i="7"/>
  <c r="G70" i="7" s="1"/>
  <c r="F69" i="7"/>
  <c r="G69" i="7" s="1"/>
  <c r="G68" i="7"/>
  <c r="F68" i="7"/>
  <c r="F67" i="7"/>
  <c r="G67" i="7" s="1"/>
  <c r="G66" i="7"/>
  <c r="F66" i="7"/>
  <c r="G65" i="7"/>
  <c r="F65" i="7"/>
  <c r="G64" i="7"/>
  <c r="F64" i="7"/>
  <c r="G63" i="7"/>
  <c r="F63" i="7"/>
  <c r="F62" i="7"/>
  <c r="G62" i="7" s="1"/>
  <c r="F61" i="7"/>
  <c r="G61" i="7" s="1"/>
  <c r="F60" i="7"/>
  <c r="G60" i="7" s="1"/>
  <c r="F59" i="7"/>
  <c r="G59" i="7" s="1"/>
  <c r="G58" i="7"/>
  <c r="F58" i="7"/>
  <c r="F57" i="7"/>
  <c r="G57" i="7" s="1"/>
  <c r="F56" i="7"/>
  <c r="G56" i="7" s="1"/>
  <c r="F55" i="7"/>
  <c r="G55" i="7" s="1"/>
  <c r="G54" i="7"/>
  <c r="F54" i="7"/>
  <c r="F53" i="7"/>
  <c r="G53" i="7" s="1"/>
  <c r="G52" i="7"/>
  <c r="F52" i="7"/>
  <c r="G51" i="7"/>
  <c r="F51" i="7"/>
  <c r="G50" i="7"/>
  <c r="F50" i="7"/>
  <c r="G49" i="7"/>
  <c r="F49" i="7"/>
  <c r="F48" i="7"/>
  <c r="G48" i="7" s="1"/>
  <c r="F47" i="7"/>
  <c r="G47" i="7" s="1"/>
  <c r="F46" i="7"/>
  <c r="G46" i="7" s="1"/>
  <c r="F45" i="7"/>
  <c r="G45" i="7" s="1"/>
  <c r="G44" i="7"/>
  <c r="F44" i="7"/>
  <c r="F43" i="7"/>
  <c r="G43" i="7" s="1"/>
  <c r="F42" i="7"/>
  <c r="G42" i="7" s="1"/>
  <c r="F41" i="7"/>
  <c r="G41" i="7" s="1"/>
  <c r="G40" i="7"/>
  <c r="F40" i="7"/>
  <c r="F39" i="7"/>
  <c r="G39" i="7" s="1"/>
  <c r="G38" i="7"/>
  <c r="F38" i="7"/>
  <c r="G37" i="7"/>
  <c r="F37" i="7"/>
  <c r="G36" i="7"/>
  <c r="F36" i="7"/>
  <c r="G35" i="7"/>
  <c r="F35" i="7"/>
  <c r="F34" i="7"/>
  <c r="G34" i="7" s="1"/>
  <c r="F33" i="7"/>
  <c r="G33" i="7" s="1"/>
  <c r="F32" i="7"/>
  <c r="G32" i="7" s="1"/>
  <c r="F31" i="7"/>
  <c r="G31" i="7" s="1"/>
  <c r="G30" i="7"/>
  <c r="F30" i="7"/>
  <c r="F29" i="7"/>
  <c r="G29" i="7" s="1"/>
  <c r="F28" i="7"/>
  <c r="G28" i="7" s="1"/>
  <c r="F27" i="7"/>
  <c r="G27" i="7" s="1"/>
  <c r="G26" i="7"/>
  <c r="F26" i="7"/>
  <c r="F25" i="7"/>
  <c r="G25" i="7" s="1"/>
  <c r="G24" i="7"/>
  <c r="F24" i="7"/>
  <c r="G23" i="7"/>
  <c r="F23" i="7"/>
  <c r="G22" i="7"/>
  <c r="F22" i="7"/>
  <c r="G21" i="7"/>
  <c r="F21" i="7"/>
  <c r="F20" i="7"/>
  <c r="G20" i="7" s="1"/>
  <c r="F19" i="7"/>
  <c r="G19" i="7" s="1"/>
  <c r="F18" i="7"/>
  <c r="G18" i="7" s="1"/>
  <c r="F17" i="7"/>
  <c r="G17" i="7" s="1"/>
  <c r="G16" i="7"/>
  <c r="F16" i="7"/>
  <c r="F15" i="7"/>
  <c r="G15" i="7" s="1"/>
  <c r="F14" i="7"/>
  <c r="G14" i="7" s="1"/>
  <c r="F13" i="7"/>
  <c r="G13" i="7" s="1"/>
  <c r="G12" i="7"/>
  <c r="F12" i="7"/>
  <c r="F11" i="7"/>
  <c r="G11" i="7" s="1"/>
  <c r="G10" i="7"/>
  <c r="F10" i="7"/>
  <c r="G9" i="7"/>
  <c r="F9" i="7"/>
  <c r="G8" i="7"/>
  <c r="F8" i="7"/>
  <c r="F6" i="7"/>
  <c r="G6" i="7" s="1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F25" i="5"/>
  <c r="BE25" i="5"/>
  <c r="BD25" i="5"/>
  <c r="BF24" i="5"/>
  <c r="BE24" i="5"/>
  <c r="BD24" i="5"/>
  <c r="BF23" i="5"/>
  <c r="BE23" i="5"/>
  <c r="BD23" i="5"/>
  <c r="BF22" i="5"/>
  <c r="BE22" i="5"/>
  <c r="BD22" i="5"/>
  <c r="BF21" i="5"/>
  <c r="BE21" i="5"/>
  <c r="BD21" i="5"/>
  <c r="BF20" i="5"/>
  <c r="BE20" i="5"/>
  <c r="BD20" i="5"/>
  <c r="BF19" i="5"/>
  <c r="BE19" i="5"/>
  <c r="BD19" i="5"/>
  <c r="BF18" i="5"/>
  <c r="BE18" i="5"/>
  <c r="BD18" i="5"/>
  <c r="BF17" i="5"/>
  <c r="BE17" i="5"/>
  <c r="BD17" i="5"/>
  <c r="BF16" i="5"/>
  <c r="BE16" i="5"/>
  <c r="BD16" i="5"/>
  <c r="BF15" i="5"/>
  <c r="BE15" i="5"/>
  <c r="BD15" i="5"/>
  <c r="BF14" i="5"/>
  <c r="BE14" i="5"/>
  <c r="BD14" i="5"/>
  <c r="BF13" i="5"/>
  <c r="BE13" i="5"/>
  <c r="BD13" i="5"/>
  <c r="BF12" i="5"/>
  <c r="BE12" i="5"/>
  <c r="BD12" i="5"/>
  <c r="BF11" i="5"/>
  <c r="BE11" i="5"/>
  <c r="BD11" i="5"/>
  <c r="BF10" i="5"/>
  <c r="BE10" i="5"/>
  <c r="BD10" i="5"/>
  <c r="BF9" i="5"/>
  <c r="BE9" i="5"/>
  <c r="BD9" i="5"/>
  <c r="BF8" i="5"/>
  <c r="BE8" i="5"/>
  <c r="BD8" i="5"/>
  <c r="BF7" i="5"/>
  <c r="BE7" i="5"/>
  <c r="J11" i="1" s="1"/>
  <c r="BD7" i="5"/>
  <c r="BF6" i="5"/>
  <c r="BE6" i="5"/>
  <c r="BD6" i="5"/>
  <c r="K35" i="4"/>
  <c r="A35" i="4"/>
  <c r="K34" i="4"/>
  <c r="A34" i="4"/>
  <c r="K33" i="4"/>
  <c r="A33" i="4"/>
  <c r="K32" i="4"/>
  <c r="A32" i="4"/>
  <c r="K31" i="4"/>
  <c r="A31" i="4"/>
  <c r="K30" i="4"/>
  <c r="A30" i="4"/>
  <c r="K29" i="4"/>
  <c r="A29" i="4"/>
  <c r="K28" i="4"/>
  <c r="A28" i="4"/>
  <c r="K27" i="4"/>
  <c r="A27" i="4"/>
  <c r="K26" i="4"/>
  <c r="A26" i="4"/>
  <c r="K25" i="4"/>
  <c r="A25" i="4"/>
  <c r="K24" i="4"/>
  <c r="A24" i="4"/>
  <c r="K23" i="4"/>
  <c r="A23" i="4"/>
  <c r="K22" i="4"/>
  <c r="A22" i="4"/>
  <c r="K21" i="4"/>
  <c r="A21" i="4"/>
  <c r="K20" i="4"/>
  <c r="A20" i="4"/>
  <c r="K19" i="4"/>
  <c r="A19" i="4"/>
  <c r="K18" i="4"/>
  <c r="A18" i="4"/>
  <c r="K17" i="4"/>
  <c r="A17" i="4"/>
  <c r="K16" i="4"/>
  <c r="A16" i="4"/>
  <c r="K15" i="4"/>
  <c r="A15" i="4"/>
  <c r="K14" i="4"/>
  <c r="A14" i="4"/>
  <c r="K13" i="4"/>
  <c r="A13" i="4"/>
  <c r="K12" i="4"/>
  <c r="A12" i="4"/>
  <c r="K11" i="4"/>
  <c r="A11" i="4"/>
  <c r="K10" i="4"/>
  <c r="A10" i="4"/>
  <c r="K9" i="4"/>
  <c r="A9" i="4"/>
  <c r="K8" i="4"/>
  <c r="A8" i="4"/>
  <c r="K7" i="4"/>
  <c r="G11" i="1" s="1"/>
  <c r="A7" i="4"/>
  <c r="K6" i="4"/>
  <c r="A6" i="4"/>
  <c r="B17" i="3"/>
  <c r="H17" i="3" s="1"/>
  <c r="A17" i="3"/>
  <c r="A16" i="3"/>
  <c r="B16" i="3" s="1"/>
  <c r="H16" i="3" s="1"/>
  <c r="B15" i="3"/>
  <c r="H15" i="3" s="1"/>
  <c r="A15" i="3"/>
  <c r="A14" i="3"/>
  <c r="B14" i="3" s="1"/>
  <c r="H14" i="3" s="1"/>
  <c r="B13" i="3"/>
  <c r="H13" i="3" s="1"/>
  <c r="A13" i="3"/>
  <c r="A12" i="3"/>
  <c r="A41" i="1" s="1"/>
  <c r="B11" i="3"/>
  <c r="H11" i="3" s="1"/>
  <c r="A11" i="3"/>
  <c r="A40" i="1" s="1"/>
  <c r="A10" i="3"/>
  <c r="B10" i="3" s="1"/>
  <c r="H10" i="3" s="1"/>
  <c r="B9" i="3"/>
  <c r="H9" i="3" s="1"/>
  <c r="A9" i="3"/>
  <c r="A8" i="3"/>
  <c r="A37" i="1" s="1"/>
  <c r="E7" i="3"/>
  <c r="E8" i="3" s="1"/>
  <c r="E9" i="3" s="1"/>
  <c r="B7" i="3"/>
  <c r="H7" i="3" s="1"/>
  <c r="A7" i="3"/>
  <c r="A36" i="1" s="1"/>
  <c r="F6" i="3"/>
  <c r="F7" i="3" s="1"/>
  <c r="E6" i="3"/>
  <c r="A6" i="3"/>
  <c r="J57" i="2"/>
  <c r="K57" i="2" s="1"/>
  <c r="L57" i="2" s="1"/>
  <c r="B57" i="2"/>
  <c r="K56" i="2"/>
  <c r="L56" i="2" s="1"/>
  <c r="J56" i="2"/>
  <c r="B56" i="2"/>
  <c r="J55" i="2"/>
  <c r="K55" i="2" s="1"/>
  <c r="L55" i="2" s="1"/>
  <c r="B55" i="2"/>
  <c r="J54" i="2"/>
  <c r="K54" i="2" s="1"/>
  <c r="L54" i="2" s="1"/>
  <c r="B54" i="2"/>
  <c r="K53" i="2"/>
  <c r="L53" i="2" s="1"/>
  <c r="J53" i="2"/>
  <c r="B53" i="2"/>
  <c r="K52" i="2"/>
  <c r="L52" i="2" s="1"/>
  <c r="J52" i="2"/>
  <c r="B52" i="2"/>
  <c r="J51" i="2"/>
  <c r="K51" i="2" s="1"/>
  <c r="L51" i="2" s="1"/>
  <c r="B51" i="2"/>
  <c r="J50" i="2"/>
  <c r="K50" i="2" s="1"/>
  <c r="L50" i="2" s="1"/>
  <c r="B50" i="2"/>
  <c r="K49" i="2"/>
  <c r="L49" i="2" s="1"/>
  <c r="J49" i="2"/>
  <c r="B49" i="2"/>
  <c r="J48" i="2"/>
  <c r="K48" i="2" s="1"/>
  <c r="L48" i="2" s="1"/>
  <c r="B48" i="2"/>
  <c r="J47" i="2"/>
  <c r="K47" i="2" s="1"/>
  <c r="L47" i="2" s="1"/>
  <c r="B47" i="2"/>
  <c r="K46" i="2"/>
  <c r="L46" i="2" s="1"/>
  <c r="J46" i="2"/>
  <c r="B46" i="2"/>
  <c r="K45" i="2"/>
  <c r="L45" i="2" s="1"/>
  <c r="J45" i="2"/>
  <c r="B45" i="2"/>
  <c r="J44" i="2"/>
  <c r="K44" i="2" s="1"/>
  <c r="L44" i="2" s="1"/>
  <c r="B44" i="2"/>
  <c r="J43" i="2"/>
  <c r="K43" i="2" s="1"/>
  <c r="L43" i="2" s="1"/>
  <c r="B43" i="2"/>
  <c r="K42" i="2"/>
  <c r="L42" i="2" s="1"/>
  <c r="J42" i="2"/>
  <c r="B42" i="2"/>
  <c r="J41" i="2"/>
  <c r="K41" i="2" s="1"/>
  <c r="L41" i="2" s="1"/>
  <c r="B41" i="2"/>
  <c r="J40" i="2"/>
  <c r="K40" i="2" s="1"/>
  <c r="L40" i="2" s="1"/>
  <c r="B40" i="2"/>
  <c r="K39" i="2"/>
  <c r="L39" i="2" s="1"/>
  <c r="J39" i="2"/>
  <c r="B39" i="2"/>
  <c r="K38" i="2"/>
  <c r="L38" i="2" s="1"/>
  <c r="J38" i="2"/>
  <c r="B38" i="2"/>
  <c r="J37" i="2"/>
  <c r="K37" i="2" s="1"/>
  <c r="L37" i="2" s="1"/>
  <c r="B37" i="2"/>
  <c r="J36" i="2"/>
  <c r="K36" i="2" s="1"/>
  <c r="L36" i="2" s="1"/>
  <c r="B36" i="2"/>
  <c r="K35" i="2"/>
  <c r="L35" i="2" s="1"/>
  <c r="J35" i="2"/>
  <c r="B35" i="2"/>
  <c r="J34" i="2"/>
  <c r="K34" i="2" s="1"/>
  <c r="L34" i="2" s="1"/>
  <c r="B34" i="2"/>
  <c r="J33" i="2"/>
  <c r="K33" i="2" s="1"/>
  <c r="L33" i="2" s="1"/>
  <c r="B33" i="2"/>
  <c r="K32" i="2"/>
  <c r="L32" i="2" s="1"/>
  <c r="J32" i="2"/>
  <c r="B32" i="2"/>
  <c r="K31" i="2"/>
  <c r="L31" i="2" s="1"/>
  <c r="J31" i="2"/>
  <c r="B31" i="2"/>
  <c r="J30" i="2"/>
  <c r="K30" i="2" s="1"/>
  <c r="L30" i="2" s="1"/>
  <c r="B30" i="2"/>
  <c r="J29" i="2"/>
  <c r="K29" i="2" s="1"/>
  <c r="L29" i="2" s="1"/>
  <c r="B29" i="2"/>
  <c r="K28" i="2"/>
  <c r="L28" i="2" s="1"/>
  <c r="J28" i="2"/>
  <c r="B28" i="2"/>
  <c r="J27" i="2"/>
  <c r="K27" i="2" s="1"/>
  <c r="L27" i="2" s="1"/>
  <c r="B27" i="2"/>
  <c r="J26" i="2"/>
  <c r="K26" i="2" s="1"/>
  <c r="L26" i="2" s="1"/>
  <c r="B26" i="2"/>
  <c r="K25" i="2"/>
  <c r="L25" i="2" s="1"/>
  <c r="J25" i="2"/>
  <c r="B25" i="2"/>
  <c r="K24" i="2"/>
  <c r="L24" i="2" s="1"/>
  <c r="J24" i="2"/>
  <c r="B24" i="2"/>
  <c r="J23" i="2"/>
  <c r="K23" i="2" s="1"/>
  <c r="L23" i="2" s="1"/>
  <c r="B23" i="2"/>
  <c r="J22" i="2"/>
  <c r="K22" i="2" s="1"/>
  <c r="L22" i="2" s="1"/>
  <c r="B22" i="2"/>
  <c r="K21" i="2"/>
  <c r="L21" i="2" s="1"/>
  <c r="J21" i="2"/>
  <c r="B21" i="2"/>
  <c r="J20" i="2"/>
  <c r="K20" i="2" s="1"/>
  <c r="L20" i="2" s="1"/>
  <c r="B20" i="2"/>
  <c r="J19" i="2"/>
  <c r="K19" i="2" s="1"/>
  <c r="L19" i="2" s="1"/>
  <c r="B19" i="2"/>
  <c r="K18" i="2"/>
  <c r="L18" i="2" s="1"/>
  <c r="J18" i="2"/>
  <c r="B18" i="2"/>
  <c r="K17" i="2"/>
  <c r="L17" i="2" s="1"/>
  <c r="J17" i="2"/>
  <c r="B17" i="2"/>
  <c r="J16" i="2"/>
  <c r="K16" i="2" s="1"/>
  <c r="L16" i="2" s="1"/>
  <c r="B16" i="2"/>
  <c r="J15" i="2"/>
  <c r="K15" i="2" s="1"/>
  <c r="L15" i="2" s="1"/>
  <c r="B15" i="2"/>
  <c r="K14" i="2"/>
  <c r="L14" i="2" s="1"/>
  <c r="J14" i="2"/>
  <c r="B14" i="2"/>
  <c r="J13" i="2"/>
  <c r="K13" i="2" s="1"/>
  <c r="L13" i="2" s="1"/>
  <c r="B13" i="2"/>
  <c r="J12" i="2"/>
  <c r="K12" i="2" s="1"/>
  <c r="L12" i="2" s="1"/>
  <c r="B12" i="2"/>
  <c r="K11" i="2"/>
  <c r="L11" i="2" s="1"/>
  <c r="J11" i="2"/>
  <c r="B11" i="2"/>
  <c r="K10" i="2"/>
  <c r="L10" i="2" s="1"/>
  <c r="J10" i="2"/>
  <c r="B10" i="2"/>
  <c r="J9" i="2"/>
  <c r="K9" i="2" s="1"/>
  <c r="L9" i="2" s="1"/>
  <c r="B9" i="2"/>
  <c r="J8" i="2"/>
  <c r="K8" i="2" s="1"/>
  <c r="L8" i="2" s="1"/>
  <c r="B8" i="2"/>
  <c r="K7" i="2"/>
  <c r="L7" i="2" s="1"/>
  <c r="J7" i="2"/>
  <c r="B7" i="2"/>
  <c r="B6" i="2"/>
  <c r="D46" i="1"/>
  <c r="C46" i="1"/>
  <c r="A46" i="1"/>
  <c r="A45" i="1"/>
  <c r="C45" i="1" s="1"/>
  <c r="C44" i="1"/>
  <c r="A44" i="1"/>
  <c r="D44" i="1" s="1"/>
  <c r="D43" i="1"/>
  <c r="A43" i="1"/>
  <c r="C43" i="1" s="1"/>
  <c r="A42" i="1"/>
  <c r="D42" i="1" s="1"/>
  <c r="G39" i="1"/>
  <c r="D39" i="1"/>
  <c r="C39" i="1"/>
  <c r="A39" i="1"/>
  <c r="J38" i="1"/>
  <c r="G38" i="1"/>
  <c r="D38" i="1"/>
  <c r="C38" i="1"/>
  <c r="A38" i="1"/>
  <c r="J37" i="1"/>
  <c r="G37" i="1"/>
  <c r="J36" i="1"/>
  <c r="G36" i="1"/>
  <c r="J35" i="1"/>
  <c r="G35" i="1"/>
  <c r="A35" i="1"/>
  <c r="D35" i="1" s="1"/>
  <c r="M11" i="1"/>
  <c r="D11" i="1"/>
  <c r="A11" i="1"/>
  <c r="G6" i="1"/>
  <c r="D6" i="1"/>
  <c r="E10" i="3" l="1"/>
  <c r="C41" i="1"/>
  <c r="D41" i="1"/>
  <c r="D36" i="1"/>
  <c r="C36" i="1"/>
  <c r="D37" i="1"/>
  <c r="C37" i="1"/>
  <c r="D40" i="1"/>
  <c r="C40" i="1"/>
  <c r="F8" i="3"/>
  <c r="F9" i="3" s="1"/>
  <c r="F10" i="3" s="1"/>
  <c r="F11" i="3" s="1"/>
  <c r="F12" i="3" s="1"/>
  <c r="F13" i="3" s="1"/>
  <c r="F14" i="3" s="1"/>
  <c r="F15" i="3" s="1"/>
  <c r="F16" i="3" s="1"/>
  <c r="F17" i="3" s="1"/>
  <c r="G7" i="3"/>
  <c r="G6" i="3"/>
  <c r="B35" i="1" s="1"/>
  <c r="A6" i="1"/>
  <c r="D45" i="1"/>
  <c r="B8" i="3"/>
  <c r="H8" i="3" s="1"/>
  <c r="B12" i="3"/>
  <c r="H12" i="3" s="1"/>
  <c r="C35" i="1"/>
  <c r="G8" i="3"/>
  <c r="C42" i="1"/>
  <c r="I8" i="3" l="1"/>
  <c r="B37" i="1"/>
  <c r="M6" i="1"/>
  <c r="I6" i="3"/>
  <c r="B36" i="1"/>
  <c r="I7" i="3"/>
  <c r="G9" i="3"/>
  <c r="E11" i="3"/>
  <c r="G10" i="3"/>
  <c r="E12" i="3" l="1"/>
  <c r="G11" i="3"/>
  <c r="I10" i="3"/>
  <c r="B39" i="1"/>
  <c r="I9" i="3"/>
  <c r="B38" i="1"/>
  <c r="B40" i="1" l="1"/>
  <c r="I11" i="3"/>
  <c r="E13" i="3"/>
  <c r="G12" i="3"/>
  <c r="B41" i="1" l="1"/>
  <c r="I12" i="3"/>
  <c r="E14" i="3"/>
  <c r="G13" i="3"/>
  <c r="E15" i="3" l="1"/>
  <c r="G14" i="3"/>
  <c r="I13" i="3"/>
  <c r="B42" i="1"/>
  <c r="I14" i="3" l="1"/>
  <c r="B43" i="1"/>
  <c r="E16" i="3"/>
  <c r="G15" i="3"/>
  <c r="I15" i="3" l="1"/>
  <c r="B44" i="1"/>
  <c r="E17" i="3"/>
  <c r="G17" i="3" s="1"/>
  <c r="G16" i="3"/>
  <c r="I16" i="3" l="1"/>
  <c r="B45" i="1"/>
  <c r="J6" i="1"/>
  <c r="I17" i="3"/>
  <c r="B46" i="1"/>
</calcChain>
</file>

<file path=xl/sharedStrings.xml><?xml version="1.0" encoding="utf-8"?>
<sst xmlns="http://schemas.openxmlformats.org/spreadsheetml/2006/main" count="482" uniqueCount="189">
  <si>
    <t>مدير حياتك | Life Manager</t>
  </si>
  <si>
    <t>لوحة متكاملة لإدارة المال والأهداف والعادات — أدخل بياناتك في الأوراق الأخرى.</t>
  </si>
  <si>
    <t>إجمالي الرصيد</t>
  </si>
  <si>
    <t>إجمالي المدخرات</t>
  </si>
  <si>
    <t>إجمالي الاستثمارات</t>
  </si>
  <si>
    <t>صافي الثروة</t>
  </si>
  <si>
    <t>معدل الادخار</t>
  </si>
  <si>
    <t>إجمالي الأهداف</t>
  </si>
  <si>
    <t>الأهداف المكتملة</t>
  </si>
  <si>
    <t>متوسط التقدم</t>
  </si>
  <si>
    <t>التزام العادات</t>
  </si>
  <si>
    <t>الأسابيع المتتبعة</t>
  </si>
  <si>
    <t>مخططات المتابعة</t>
  </si>
  <si>
    <t>الشهر</t>
  </si>
  <si>
    <t>الدخل</t>
  </si>
  <si>
    <t>المصروف</t>
  </si>
  <si>
    <t>الحالة</t>
  </si>
  <si>
    <t>العدد</t>
  </si>
  <si>
    <t>تقييم</t>
  </si>
  <si>
    <t>لم يبدأ</t>
  </si>
  <si>
    <t>قيد التنفيذ</t>
  </si>
  <si>
    <t>مكتمل</t>
  </si>
  <si>
    <t>معلّق</t>
  </si>
  <si>
    <t>ملغي</t>
  </si>
  <si>
    <t>الرصيد الأسبوعي | Weekly Balance</t>
  </si>
  <si>
    <t>أدخل الأهداف والأرصدة والالتزامات فقط في الخلايا الصفراء. يحسب الملف صافي الرصيد تلقائيًا.</t>
  </si>
  <si>
    <t>الأسبوع</t>
  </si>
  <si>
    <t>التاريخ</t>
  </si>
  <si>
    <t>هدف الادخار</t>
  </si>
  <si>
    <t>حساب بنكي 1</t>
  </si>
  <si>
    <t>حساب بنكي 2</t>
  </si>
  <si>
    <t>نقد</t>
  </si>
  <si>
    <t>أسهم / استثمار</t>
  </si>
  <si>
    <t>أصول أخرى</t>
  </si>
  <si>
    <t>التزامات</t>
  </si>
  <si>
    <t>إجمالي الأصول</t>
  </si>
  <si>
    <t>صافي الرصيد</t>
  </si>
  <si>
    <t>المتبقي</t>
  </si>
  <si>
    <t>المدخرات والاستثمار | Savings &amp; Investment</t>
  </si>
  <si>
    <t>الدخل مصدره ورقة الميزانية. أدخل الادخار والاستثمار شهريًا.</t>
  </si>
  <si>
    <t>الادخار</t>
  </si>
  <si>
    <t>الاستثمار</t>
  </si>
  <si>
    <t>رصيد المدخرات</t>
  </si>
  <si>
    <t>رصيد الاستثمار</t>
  </si>
  <si>
    <t>التقدم %</t>
  </si>
  <si>
    <t>الأهداف | Goals</t>
  </si>
  <si>
    <t>أدخل الهدف وخطته وقيمه المستهدفة؛ تُحسب نسبة التقدم تلقائيًا.</t>
  </si>
  <si>
    <t>رقم الهدف</t>
  </si>
  <si>
    <t>الفئة</t>
  </si>
  <si>
    <t>الهدف</t>
  </si>
  <si>
    <t>الغرض</t>
  </si>
  <si>
    <t>خطة العمل</t>
  </si>
  <si>
    <t>تاريخ البدء</t>
  </si>
  <si>
    <t>تاريخ الاستهداف</t>
  </si>
  <si>
    <t>القيمة المستهدفة</t>
  </si>
  <si>
    <t>القيمة الحالية</t>
  </si>
  <si>
    <t>ملاحظات</t>
  </si>
  <si>
    <t>العادات | 52-Week Habit Tracker</t>
  </si>
  <si>
    <t>التقييم: 0 لم يتم، 1 ضعيف، 2 جيد، 3 رائع. أدخل التقييم في الخلايا الصفراء.</t>
  </si>
  <si>
    <t>العادة</t>
  </si>
  <si>
    <t>أسبوع 1</t>
  </si>
  <si>
    <t>أسبوع 2</t>
  </si>
  <si>
    <t>أسبوع 3</t>
  </si>
  <si>
    <t>أسبوع 4</t>
  </si>
  <si>
    <t>أسبوع 5</t>
  </si>
  <si>
    <t>أسبوع 6</t>
  </si>
  <si>
    <t>أسبوع 7</t>
  </si>
  <si>
    <t>أسبوع 8</t>
  </si>
  <si>
    <t>أسبوع 9</t>
  </si>
  <si>
    <t>أسبوع 10</t>
  </si>
  <si>
    <t>أسبوع 11</t>
  </si>
  <si>
    <t>أسبوع 12</t>
  </si>
  <si>
    <t>أسبوع 13</t>
  </si>
  <si>
    <t>أسبوع 14</t>
  </si>
  <si>
    <t>أسبوع 15</t>
  </si>
  <si>
    <t>أسبوع 16</t>
  </si>
  <si>
    <t>أسبوع 17</t>
  </si>
  <si>
    <t>أسبوع 18</t>
  </si>
  <si>
    <t>أسبوع 19</t>
  </si>
  <si>
    <t>أسبوع 20</t>
  </si>
  <si>
    <t>أسبوع 21</t>
  </si>
  <si>
    <t>أسبوع 22</t>
  </si>
  <si>
    <t>أسبوع 23</t>
  </si>
  <si>
    <t>أسبوع 24</t>
  </si>
  <si>
    <t>أسبوع 25</t>
  </si>
  <si>
    <t>أسبوع 26</t>
  </si>
  <si>
    <t>أسبوع 27</t>
  </si>
  <si>
    <t>أسبوع 28</t>
  </si>
  <si>
    <t>أسبوع 29</t>
  </si>
  <si>
    <t>أسبوع 30</t>
  </si>
  <si>
    <t>أسبوع 31</t>
  </si>
  <si>
    <t>أسبوع 32</t>
  </si>
  <si>
    <t>أسبوع 33</t>
  </si>
  <si>
    <t>أسبوع 34</t>
  </si>
  <si>
    <t>أسبوع 35</t>
  </si>
  <si>
    <t>أسبوع 36</t>
  </si>
  <si>
    <t>أسبوع 37</t>
  </si>
  <si>
    <t>أسبوع 38</t>
  </si>
  <si>
    <t>أسبوع 39</t>
  </si>
  <si>
    <t>أسبوع 40</t>
  </si>
  <si>
    <t>أسبوع 41</t>
  </si>
  <si>
    <t>أسبوع 42</t>
  </si>
  <si>
    <t>أسبوع 43</t>
  </si>
  <si>
    <t>أسبوع 44</t>
  </si>
  <si>
    <t>أسبوع 45</t>
  </si>
  <si>
    <t>أسبوع 46</t>
  </si>
  <si>
    <t>أسبوع 47</t>
  </si>
  <si>
    <t>أسبوع 48</t>
  </si>
  <si>
    <t>أسبوع 49</t>
  </si>
  <si>
    <t>أسبوع 50</t>
  </si>
  <si>
    <t>أسبوع 51</t>
  </si>
  <si>
    <t>أسبوع 52</t>
  </si>
  <si>
    <t>إجمالي النقاط</t>
  </si>
  <si>
    <t>نسبة الالتزام</t>
  </si>
  <si>
    <t>متوسط التقييم</t>
  </si>
  <si>
    <t>الامتنان | Weekly Gratitude</t>
  </si>
  <si>
    <t>سجل ثلاثة أمور ممتن لها كل أسبوع.</t>
  </si>
  <si>
    <t>امتنان 1</t>
  </si>
  <si>
    <t>امتنان 2</t>
  </si>
  <si>
    <t>امتنان 3</t>
  </si>
  <si>
    <t>الميزانية | Budget Management</t>
  </si>
  <si>
    <t>أدخل الميزانية والفعلية حسب الشهر والفئة. الخلايا الصفراء هي مناطق الإدخال.</t>
  </si>
  <si>
    <t>النوع</t>
  </si>
  <si>
    <t>الميزانية</t>
  </si>
  <si>
    <t>الفعلي</t>
  </si>
  <si>
    <t>الانحراف</t>
  </si>
  <si>
    <t>الانحراف %</t>
  </si>
  <si>
    <t>الإعدادات | Settings</t>
  </si>
  <si>
    <t>الخلايا الصفراء قابلة للتعديل — تستخدم القوائم في التحقق من صحة الإدخال</t>
  </si>
  <si>
    <t>إعداد</t>
  </si>
  <si>
    <t>القيمة</t>
  </si>
  <si>
    <t>فئات الأهداف</t>
  </si>
  <si>
    <t>حالة الهدف</t>
  </si>
  <si>
    <t>تقييم العادة</t>
  </si>
  <si>
    <t>نوع الحركة</t>
  </si>
  <si>
    <t>فئات الميزانية</t>
  </si>
  <si>
    <t>أشهر السنة</t>
  </si>
  <si>
    <t>فئات العادات</t>
  </si>
  <si>
    <t>السنة</t>
  </si>
  <si>
    <t>التعليم</t>
  </si>
  <si>
    <t>0 = لم يتم</t>
  </si>
  <si>
    <t>دخل</t>
  </si>
  <si>
    <t>الراتب</t>
  </si>
  <si>
    <t>يناير</t>
  </si>
  <si>
    <t>صحة</t>
  </si>
  <si>
    <t>المهنة</t>
  </si>
  <si>
    <t>1 = ضعيف</t>
  </si>
  <si>
    <t>مصروف</t>
  </si>
  <si>
    <t>عمل حر</t>
  </si>
  <si>
    <t>فبراير</t>
  </si>
  <si>
    <t>تعلم</t>
  </si>
  <si>
    <t>المال</t>
  </si>
  <si>
    <t>2 = جيد</t>
  </si>
  <si>
    <t>عمل تجاري</t>
  </si>
  <si>
    <t>مارس</t>
  </si>
  <si>
    <t>روحانيات</t>
  </si>
  <si>
    <t>الصحة</t>
  </si>
  <si>
    <t>3 = رائع</t>
  </si>
  <si>
    <t>دخل آخر</t>
  </si>
  <si>
    <t>أبريل</t>
  </si>
  <si>
    <t>إنتاجية</t>
  </si>
  <si>
    <t>التطوير الشخصي</t>
  </si>
  <si>
    <t>السكن</t>
  </si>
  <si>
    <t>مايو</t>
  </si>
  <si>
    <t>علاقات</t>
  </si>
  <si>
    <t>السفر</t>
  </si>
  <si>
    <t>المواصلات</t>
  </si>
  <si>
    <t>يونيو</t>
  </si>
  <si>
    <t>أخرى</t>
  </si>
  <si>
    <t>العائلة</t>
  </si>
  <si>
    <t>الطعام</t>
  </si>
  <si>
    <t>يوليو</t>
  </si>
  <si>
    <t>المرافق</t>
  </si>
  <si>
    <t>أغسطس</t>
  </si>
  <si>
    <t>سبتمبر</t>
  </si>
  <si>
    <t>أكتوبر</t>
  </si>
  <si>
    <t>الترفيه</t>
  </si>
  <si>
    <t>نوفمبر</t>
  </si>
  <si>
    <t>التسوق</t>
  </si>
  <si>
    <t>ديسمبر</t>
  </si>
  <si>
    <t>الديون</t>
  </si>
  <si>
    <t>حالة النموذج</t>
  </si>
  <si>
    <t>جاهز للإدخال</t>
  </si>
  <si>
    <t>ملاحظة الحماية</t>
  </si>
  <si>
    <t>يُرجى حماية الأوراق بكلمة admin1234 في Excel إذا لزم منع التعديل البنيوي.</t>
  </si>
  <si>
    <t>تمييز الإدخال</t>
  </si>
  <si>
    <t>الخلايا الصفراء هي خلايا الإدخال.</t>
  </si>
  <si>
    <t>تمييز الحساب</t>
  </si>
  <si>
    <t>الخلايا الرمادية تحتوي صيغًا.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</si>
</sst>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\(#,##0.00\);\-"/>
    <numFmt numFmtId="165" formatCode="0.0%"/>
    <numFmt numFmtId="166" formatCode="0.0"/>
  </numFmts>
  <fonts count="9">
    <font>
      <sz val="11"/>
      <name val="Carlito"/>
    </font>
    <font>
      <b/>
      <sz val="18"/>
      <color rgb="FFFFFFFF"/>
      <name val="Carlito"/>
    </font>
    <font>
      <i/>
      <sz val="10"/>
      <color rgb="FF5B6875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0000"/>
      <name val="Carlito"/>
    </font>
    <font>
      <b/>
      <sz val="10"/>
      <color rgb="FFFFFFFF"/>
      <name val="Carlito"/>
    </font>
    <font>
      <b/>
      <sz val="15"/>
      <color rgb="FF1F2937"/>
      <name val="Carlito"/>
    </font>
    <font>
      <b/>
      <sz val="11"/>
      <color rgb="FF18324A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8324A"/>
      </patternFill>
    </fill>
    <fill>
      <patternFill patternType="solid">
        <fgColor rgb="FF157A7A"/>
      </patternFill>
    </fill>
    <fill>
      <patternFill patternType="solid">
        <fgColor rgb="FFFFF3CD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DDEFF4"/>
      </patternFill>
    </fill>
  </fills>
  <borders count="8">
    <border>
      <left/>
      <right/>
      <top/>
      <bottom/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  <border>
      <left style="thin">
        <color rgb="FFD7E0E7"/>
      </left>
      <right/>
      <top style="thin">
        <color rgb="FFD7E0E7"/>
      </top>
      <bottom/>
      <diagonal/>
    </border>
    <border>
      <left/>
      <right/>
      <top style="thin">
        <color rgb="FFD7E0E7"/>
      </top>
      <bottom/>
      <diagonal/>
    </border>
    <border>
      <left/>
      <right style="thin">
        <color rgb="FFD7E0E7"/>
      </right>
      <top style="thin">
        <color rgb="FFD7E0E7"/>
      </top>
      <bottom/>
      <diagonal/>
    </border>
    <border>
      <left style="thin">
        <color rgb="FFD7E0E7"/>
      </left>
      <right/>
      <top/>
      <bottom style="thin">
        <color rgb="FFD7E0E7"/>
      </bottom>
      <diagonal/>
    </border>
    <border>
      <left/>
      <right/>
      <top/>
      <bottom style="thin">
        <color rgb="FFD7E0E7"/>
      </bottom>
      <diagonal/>
    </border>
    <border>
      <left/>
      <right style="thin">
        <color rgb="FFD7E0E7"/>
      </right>
      <top/>
      <bottom style="thin">
        <color rgb="FFD7E0E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0" fontId="5" fillId="5" borderId="1" xfId="0" applyNumberFormat="1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165" fontId="5" fillId="5" borderId="1" xfId="0" applyNumberFormat="1" applyFont="1" applyFill="1" applyBorder="1" applyAlignment="1">
      <alignment vertical="center"/>
    </xf>
    <xf numFmtId="0" fontId="4" fillId="4" borderId="1" xfId="0" applyNumberFormat="1" applyFont="1" applyFill="1" applyBorder="1" applyAlignment="1">
      <alignment vertical="center"/>
    </xf>
    <xf numFmtId="14" fontId="4" fillId="4" borderId="1" xfId="0" applyNumberFormat="1" applyFont="1" applyFill="1" applyBorder="1" applyAlignment="1">
      <alignment vertical="center"/>
    </xf>
    <xf numFmtId="166" fontId="5" fillId="5" borderId="1" xfId="0" applyNumberFormat="1" applyFont="1" applyFill="1" applyBorder="1" applyAlignment="1">
      <alignment vertical="center"/>
    </xf>
    <xf numFmtId="0" fontId="3" fillId="2" borderId="0" xfId="0" applyNumberFormat="1" applyFont="1" applyFill="1" applyBorder="1"/>
    <xf numFmtId="0" fontId="0" fillId="7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right" vertical="center"/>
    </xf>
    <xf numFmtId="0" fontId="6" fillId="3" borderId="0" xfId="0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/>
    </xf>
    <xf numFmtId="164" fontId="7" fillId="6" borderId="5" xfId="0" applyNumberFormat="1" applyFont="1" applyFill="1" applyBorder="1" applyAlignment="1">
      <alignment horizontal="center" vertical="center"/>
    </xf>
    <xf numFmtId="164" fontId="7" fillId="6" borderId="6" xfId="0" applyNumberFormat="1" applyFont="1" applyFill="1" applyBorder="1" applyAlignment="1">
      <alignment horizontal="center" vertical="center"/>
    </xf>
    <xf numFmtId="164" fontId="7" fillId="6" borderId="7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5" fontId="7" fillId="6" borderId="3" xfId="0" applyNumberFormat="1" applyFont="1" applyFill="1" applyBorder="1" applyAlignment="1">
      <alignment horizontal="center" vertical="center"/>
    </xf>
    <xf numFmtId="165" fontId="7" fillId="6" borderId="4" xfId="0" applyNumberFormat="1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165" fontId="7" fillId="6" borderId="6" xfId="0" applyNumberFormat="1" applyFont="1" applyFill="1" applyBorder="1" applyAlignment="1">
      <alignment horizontal="center" vertical="center"/>
    </xf>
    <xf numFmtId="165" fontId="7" fillId="6" borderId="7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3" fontId="7" fillId="6" borderId="4" xfId="0" applyNumberFormat="1" applyFont="1" applyFill="1" applyBorder="1" applyAlignment="1">
      <alignment horizontal="center" vertical="center"/>
    </xf>
    <xf numFmtId="3" fontId="7" fillId="6" borderId="5" xfId="0" applyNumberFormat="1" applyFont="1" applyFill="1" applyBorder="1" applyAlignment="1">
      <alignment horizontal="center" vertical="center"/>
    </xf>
    <xf numFmtId="3" fontId="7" fillId="6" borderId="6" xfId="0" applyNumberFormat="1" applyFont="1" applyFill="1" applyBorder="1" applyAlignment="1">
      <alignment horizontal="center" vertical="center"/>
    </xf>
    <xf numFmtId="3" fontId="7" fillId="6" borderId="7" xfId="0" applyNumberFormat="1" applyFont="1" applyFill="1" applyBorder="1" applyAlignment="1">
      <alignment horizontal="center" vertical="center"/>
    </xf>
    <xf numFmtId="0" fontId="8" fillId="7" borderId="0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8">
    <dxf>
      <fill>
        <patternFill patternType="solid">
          <bgColor rgb="FFDDEEE3"/>
        </patternFill>
      </fill>
    </dxf>
    <dxf>
      <fill>
        <patternFill patternType="solid">
          <bgColor rgb="FFFCE2E2"/>
        </patternFill>
      </fill>
    </dxf>
    <dxf>
      <fill>
        <patternFill patternType="solid">
          <bgColor rgb="FFFCE2E2"/>
        </patternFill>
      </fill>
    </dxf>
    <dxf>
      <fill>
        <patternFill patternType="solid">
          <bgColor rgb="FFFDE8C8"/>
        </patternFill>
      </fill>
    </dxf>
    <dxf>
      <fill>
        <patternFill patternType="solid">
          <bgColor rgb="FFFFF3CD"/>
        </patternFill>
      </fill>
    </dxf>
    <dxf>
      <fill>
        <patternFill patternType="solid">
          <bgColor rgb="FFDDEEE3"/>
        </patternFill>
      </fill>
    </dxf>
    <dxf>
      <font>
        <color rgb="FFA61B1B"/>
      </font>
      <fill>
        <patternFill patternType="solid">
          <bgColor rgb="FFFCE2E2"/>
        </patternFill>
      </fill>
    </dxf>
    <dxf>
      <font>
        <color rgb="FF176B3A"/>
      </font>
      <fill>
        <patternFill patternType="solid">
          <bgColor rgb="FFDDEE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ar-EG"/>
              <a:t>صافي الثروة حسب الشهر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صافي الثروة</c:v>
          </c:tx>
          <c:marker>
            <c:symbol val="none"/>
          </c:marker>
          <c:cat>
            <c:strRef>
              <c:f>Dashboard!$A$35:$A$46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Dashboard!$B$35:$B$46</c:f>
              <c:numCache>
                <c:formatCode>General</c:formatCode>
                <c:ptCount val="12"/>
                <c:pt idx="0">
                  <c:v>5500</c:v>
                </c:pt>
                <c:pt idx="1">
                  <c:v>5500</c:v>
                </c:pt>
                <c:pt idx="2">
                  <c:v>5500</c:v>
                </c:pt>
                <c:pt idx="3">
                  <c:v>5500</c:v>
                </c:pt>
                <c:pt idx="4">
                  <c:v>5500</c:v>
                </c:pt>
                <c:pt idx="5">
                  <c:v>5500</c:v>
                </c:pt>
                <c:pt idx="6">
                  <c:v>5500</c:v>
                </c:pt>
                <c:pt idx="7">
                  <c:v>5500</c:v>
                </c:pt>
                <c:pt idx="8">
                  <c:v>5500</c:v>
                </c:pt>
                <c:pt idx="9">
                  <c:v>5500</c:v>
                </c:pt>
                <c:pt idx="10">
                  <c:v>5500</c:v>
                </c:pt>
                <c:pt idx="11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D-4D00-9CD4-85236C4BE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ar-EG"/>
              <a:t>الدخل مقابل المصروفات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صافي الثروة</c:v>
          </c:tx>
          <c:invertIfNegative val="1"/>
          <c:cat>
            <c:strRef>
              <c:f>Dashboard!$A$35:$A$46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Dashboard!$B$35:$B$46</c:f>
              <c:numCache>
                <c:formatCode>General</c:formatCode>
                <c:ptCount val="12"/>
                <c:pt idx="0">
                  <c:v>5500</c:v>
                </c:pt>
                <c:pt idx="1">
                  <c:v>5500</c:v>
                </c:pt>
                <c:pt idx="2">
                  <c:v>5500</c:v>
                </c:pt>
                <c:pt idx="3">
                  <c:v>5500</c:v>
                </c:pt>
                <c:pt idx="4">
                  <c:v>5500</c:v>
                </c:pt>
                <c:pt idx="5">
                  <c:v>5500</c:v>
                </c:pt>
                <c:pt idx="6">
                  <c:v>5500</c:v>
                </c:pt>
                <c:pt idx="7">
                  <c:v>5500</c:v>
                </c:pt>
                <c:pt idx="8">
                  <c:v>5500</c:v>
                </c:pt>
                <c:pt idx="9">
                  <c:v>5500</c:v>
                </c:pt>
                <c:pt idx="10">
                  <c:v>5500</c:v>
                </c:pt>
                <c:pt idx="11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7-4718-ADB1-8D29EA5F248B}"/>
            </c:ext>
          </c:extLst>
        </c:ser>
        <c:ser>
          <c:idx val="1"/>
          <c:order val="1"/>
          <c:tx>
            <c:v>الدخل</c:v>
          </c:tx>
          <c:invertIfNegative val="1"/>
          <c:cat>
            <c:strRef>
              <c:f>Dashboard!$A$35:$A$46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Dashboard!$C$35:$C$46</c:f>
              <c:numCache>
                <c:formatCode>General</c:formatCode>
                <c:ptCount val="12"/>
                <c:pt idx="0">
                  <c:v>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7-4718-ADB1-8D29EA5F248B}"/>
            </c:ext>
          </c:extLst>
        </c:ser>
        <c:ser>
          <c:idx val="2"/>
          <c:order val="2"/>
          <c:tx>
            <c:v>المصروف</c:v>
          </c:tx>
          <c:invertIfNegative val="1"/>
          <c:cat>
            <c:strRef>
              <c:f>Dashboard!$A$35:$A$46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Dashboard!$D$35:$D$46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7-4718-ADB1-8D29EA5F2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ar-EG"/>
              <a:t>تقدم الأهداف حسب الحالة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العدد</c:v>
          </c:tx>
          <c:invertIfNegative val="1"/>
          <c:cat>
            <c:strRef>
              <c:f>Dashboard!$F$35:$F$39</c:f>
              <c:strCache>
                <c:ptCount val="5"/>
                <c:pt idx="0">
                  <c:v>لم يبدأ</c:v>
                </c:pt>
                <c:pt idx="1">
                  <c:v>قيد التنفيذ</c:v>
                </c:pt>
                <c:pt idx="2">
                  <c:v>مكتمل</c:v>
                </c:pt>
                <c:pt idx="3">
                  <c:v>معلّق</c:v>
                </c:pt>
                <c:pt idx="4">
                  <c:v>ملغي</c:v>
                </c:pt>
              </c:strCache>
            </c:strRef>
          </c:cat>
          <c:val>
            <c:numRef>
              <c:f>Dashboard!$G$35:$G$39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9-44E2-84DD-41F1A85B9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ar-EG"/>
              <a:t>أداء العادات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العدد</c:v>
          </c:tx>
          <c:invertIfNegative val="1"/>
          <c:cat>
            <c:numRef>
              <c:f>Dashboard!$I$35:$I$38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Dashboard!$J$35:$J$38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D-4288-82BF-0EF94BE70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8</xdr:col>
      <xdr:colOff>0</xdr:colOff>
      <xdr:row>62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16</xdr:col>
      <xdr:colOff>0</xdr:colOff>
      <xdr:row>62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showGridLines="0" zoomScale="70" zoomScaleNormal="70" workbookViewId="0">
      <selection activeCell="B46" sqref="B46"/>
    </sheetView>
  </sheetViews>
  <sheetFormatPr defaultRowHeight="14.25"/>
  <cols>
    <col min="1" max="16" width="14" customWidth="1"/>
  </cols>
  <sheetData>
    <row r="1" spans="1:16" ht="32.1" customHeight="1">
      <c r="A1" s="13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3" t="s">
        <v>0</v>
      </c>
      <c r="K1" s="13" t="s">
        <v>0</v>
      </c>
      <c r="L1" s="13" t="s">
        <v>0</v>
      </c>
      <c r="M1" s="13" t="s">
        <v>0</v>
      </c>
      <c r="N1" s="13" t="s">
        <v>0</v>
      </c>
      <c r="O1" s="13" t="s">
        <v>0</v>
      </c>
      <c r="P1" s="13" t="s">
        <v>0</v>
      </c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0.100000000000001" customHeight="1">
      <c r="A3" s="14" t="s">
        <v>1</v>
      </c>
      <c r="B3" s="14" t="s">
        <v>1</v>
      </c>
      <c r="C3" s="14" t="s">
        <v>1</v>
      </c>
      <c r="D3" s="14" t="s">
        <v>1</v>
      </c>
      <c r="E3" s="14" t="s">
        <v>1</v>
      </c>
      <c r="F3" s="14" t="s">
        <v>1</v>
      </c>
      <c r="G3" s="14" t="s">
        <v>1</v>
      </c>
      <c r="H3" s="14" t="s">
        <v>1</v>
      </c>
      <c r="I3" s="14" t="s">
        <v>1</v>
      </c>
      <c r="J3" s="14" t="s">
        <v>1</v>
      </c>
      <c r="K3" s="14" t="s">
        <v>1</v>
      </c>
      <c r="L3" s="14" t="s">
        <v>1</v>
      </c>
      <c r="M3" s="14" t="s">
        <v>1</v>
      </c>
      <c r="N3" s="14" t="s">
        <v>1</v>
      </c>
      <c r="O3" s="14" t="s">
        <v>1</v>
      </c>
      <c r="P3" s="14" t="s">
        <v>1</v>
      </c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5" t="s">
        <v>2</v>
      </c>
      <c r="B5" s="15" t="s">
        <v>2</v>
      </c>
      <c r="C5" s="15" t="s">
        <v>2</v>
      </c>
      <c r="D5" s="15" t="s">
        <v>3</v>
      </c>
      <c r="E5" s="15" t="s">
        <v>3</v>
      </c>
      <c r="F5" s="15" t="s">
        <v>3</v>
      </c>
      <c r="G5" s="15" t="s">
        <v>4</v>
      </c>
      <c r="H5" s="15" t="s">
        <v>4</v>
      </c>
      <c r="I5" s="15" t="s">
        <v>4</v>
      </c>
      <c r="J5" s="15" t="s">
        <v>5</v>
      </c>
      <c r="K5" s="15" t="s">
        <v>5</v>
      </c>
      <c r="L5" s="15" t="s">
        <v>5</v>
      </c>
      <c r="M5" s="15" t="s">
        <v>6</v>
      </c>
      <c r="N5" s="15" t="s">
        <v>6</v>
      </c>
      <c r="O5" s="15" t="s">
        <v>6</v>
      </c>
      <c r="P5" s="15" t="s">
        <v>6</v>
      </c>
    </row>
    <row r="6" spans="1:16">
      <c r="A6" s="16">
        <f>IFERROR(LOOKUP(2,1/(الرصيد!$K$6:$K$57&lt;&gt;""),الرصيد!$K$6:$K$57),0)</f>
        <v>0</v>
      </c>
      <c r="B6" s="17"/>
      <c r="C6" s="18"/>
      <c r="D6" s="16">
        <f>SUM('المدخرات والاستثمار'!$C$6:$C$17)</f>
        <v>500</v>
      </c>
      <c r="E6" s="17"/>
      <c r="F6" s="18"/>
      <c r="G6" s="16">
        <f>SUM('المدخرات والاستثمار'!$D$6:$D$17)</f>
        <v>5000</v>
      </c>
      <c r="H6" s="17"/>
      <c r="I6" s="18"/>
      <c r="J6" s="16">
        <f>IFERROR(LOOKUP(2,1/('المدخرات والاستثمار'!$G$6:$G$17&lt;&gt;""),'المدخرات والاستثمار'!$G$6:$G$17),0)</f>
        <v>5500</v>
      </c>
      <c r="K6" s="17"/>
      <c r="L6" s="18"/>
      <c r="M6" s="22">
        <f>IFERROR(SUM('المدخرات والاستثمار'!$C$6:$C$17)/SUM('المدخرات والاستثمار'!$B$6:$B$17),0)</f>
        <v>0.1</v>
      </c>
      <c r="N6" s="23"/>
      <c r="O6" s="23"/>
      <c r="P6" s="24"/>
    </row>
    <row r="7" spans="1:16">
      <c r="A7" s="19"/>
      <c r="B7" s="20"/>
      <c r="C7" s="21"/>
      <c r="D7" s="19"/>
      <c r="E7" s="20"/>
      <c r="F7" s="21"/>
      <c r="G7" s="19"/>
      <c r="H7" s="20"/>
      <c r="I7" s="21"/>
      <c r="J7" s="19"/>
      <c r="K7" s="20"/>
      <c r="L7" s="21"/>
      <c r="M7" s="25"/>
      <c r="N7" s="26"/>
      <c r="O7" s="26"/>
      <c r="P7" s="27"/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8" t="s">
        <v>7</v>
      </c>
      <c r="B10" s="28" t="s">
        <v>7</v>
      </c>
      <c r="C10" s="28" t="s">
        <v>7</v>
      </c>
      <c r="D10" s="28" t="s">
        <v>8</v>
      </c>
      <c r="E10" s="28" t="s">
        <v>8</v>
      </c>
      <c r="F10" s="28" t="s">
        <v>8</v>
      </c>
      <c r="G10" s="28" t="s">
        <v>9</v>
      </c>
      <c r="H10" s="28" t="s">
        <v>9</v>
      </c>
      <c r="I10" s="28" t="s">
        <v>9</v>
      </c>
      <c r="J10" s="28" t="s">
        <v>10</v>
      </c>
      <c r="K10" s="28" t="s">
        <v>10</v>
      </c>
      <c r="L10" s="28" t="s">
        <v>10</v>
      </c>
      <c r="M10" s="28" t="s">
        <v>11</v>
      </c>
      <c r="N10" s="28" t="s">
        <v>11</v>
      </c>
      <c r="O10" s="28" t="s">
        <v>11</v>
      </c>
      <c r="P10" s="28" t="s">
        <v>11</v>
      </c>
    </row>
    <row r="11" spans="1:16">
      <c r="A11" s="29">
        <f>COUNTA(الأهداف!$C$6:$C$35)</f>
        <v>0</v>
      </c>
      <c r="B11" s="30"/>
      <c r="C11" s="31"/>
      <c r="D11" s="29">
        <f>COUNTIF(الأهداف!$H$6:$H$35,"مكتمل")</f>
        <v>0</v>
      </c>
      <c r="E11" s="30"/>
      <c r="F11" s="31"/>
      <c r="G11" s="22">
        <f>IFERROR(AVERAGE(الأهداف!$K$6:$K$35),0)</f>
        <v>0</v>
      </c>
      <c r="H11" s="23"/>
      <c r="I11" s="24"/>
      <c r="J11" s="22">
        <f>IFERROR(AVERAGE(العادات!$BE$6:$BE$25),0)</f>
        <v>0</v>
      </c>
      <c r="K11" s="23"/>
      <c r="L11" s="24"/>
      <c r="M11" s="29">
        <f>COUNT(الرصيد!$C$6:$C$57)</f>
        <v>1</v>
      </c>
      <c r="N11" s="30"/>
      <c r="O11" s="30"/>
      <c r="P11" s="31"/>
    </row>
    <row r="12" spans="1:16">
      <c r="A12" s="32"/>
      <c r="B12" s="33"/>
      <c r="C12" s="34"/>
      <c r="D12" s="32"/>
      <c r="E12" s="33"/>
      <c r="F12" s="34"/>
      <c r="G12" s="25"/>
      <c r="H12" s="26"/>
      <c r="I12" s="27"/>
      <c r="J12" s="25"/>
      <c r="K12" s="26"/>
      <c r="L12" s="27"/>
      <c r="M12" s="32"/>
      <c r="N12" s="33"/>
      <c r="O12" s="33"/>
      <c r="P12" s="34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35" t="s">
        <v>12</v>
      </c>
      <c r="B15" s="35" t="s">
        <v>12</v>
      </c>
      <c r="C15" s="35" t="s">
        <v>12</v>
      </c>
      <c r="D15" s="35" t="s">
        <v>12</v>
      </c>
      <c r="E15" s="35" t="s">
        <v>12</v>
      </c>
      <c r="F15" s="35" t="s">
        <v>12</v>
      </c>
      <c r="G15" s="35" t="s">
        <v>12</v>
      </c>
      <c r="H15" s="35" t="s">
        <v>12</v>
      </c>
      <c r="I15" s="35" t="s">
        <v>12</v>
      </c>
      <c r="J15" s="35" t="s">
        <v>12</v>
      </c>
      <c r="K15" s="35" t="s">
        <v>12</v>
      </c>
      <c r="L15" s="35" t="s">
        <v>12</v>
      </c>
      <c r="M15" s="35" t="s">
        <v>12</v>
      </c>
      <c r="N15" s="35" t="s">
        <v>12</v>
      </c>
      <c r="O15" s="35" t="s">
        <v>12</v>
      </c>
      <c r="P15" s="35" t="s">
        <v>12</v>
      </c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30" customHeight="1">
      <c r="A34" s="1" t="s">
        <v>13</v>
      </c>
      <c r="B34" s="1" t="s">
        <v>5</v>
      </c>
      <c r="C34" s="1" t="s">
        <v>14</v>
      </c>
      <c r="D34" s="1" t="s">
        <v>15</v>
      </c>
      <c r="E34" s="2"/>
      <c r="F34" s="1" t="s">
        <v>16</v>
      </c>
      <c r="G34" s="1" t="s">
        <v>17</v>
      </c>
      <c r="H34" s="2"/>
      <c r="I34" s="1" t="s">
        <v>18</v>
      </c>
      <c r="J34" s="1" t="s">
        <v>17</v>
      </c>
      <c r="K34" s="2"/>
      <c r="L34" s="2"/>
      <c r="M34" s="2"/>
      <c r="N34" s="2"/>
      <c r="O34" s="2"/>
      <c r="P34" s="2"/>
    </row>
    <row r="35" spans="1:16">
      <c r="A35" s="2" t="str">
        <f>'المدخرات والاستثمار'!A6</f>
        <v>يناير</v>
      </c>
      <c r="B35" s="2">
        <f>'المدخرات والاستثمار'!G6</f>
        <v>5500</v>
      </c>
      <c r="C35" s="2">
        <f>SUMIFS(الميزانية!$E$6:$E$185,الميزانية!$A$6:$A$185,A35,الميزانية!$C$6:$C$185,"دخل")</f>
        <v>5000</v>
      </c>
      <c r="D35" s="2">
        <f>SUMIFS(الميزانية!$E$6:$E$185,الميزانية!$A$6:$A$185,A35,الميزانية!$C$6:$C$185,"مصروف")</f>
        <v>0</v>
      </c>
      <c r="E35" s="2"/>
      <c r="F35" s="2" t="s">
        <v>19</v>
      </c>
      <c r="G35" s="2">
        <f>COUNTIF(الأهداف!$H$6:$H$35,F35)</f>
        <v>0</v>
      </c>
      <c r="H35" s="2"/>
      <c r="I35" s="2">
        <v>0</v>
      </c>
      <c r="J35" s="2">
        <f>COUNTIF(العادات!$D$6:$BC$25,I35)</f>
        <v>0</v>
      </c>
      <c r="K35" s="2"/>
      <c r="L35" s="2"/>
      <c r="M35" s="2"/>
      <c r="N35" s="2"/>
      <c r="O35" s="2"/>
      <c r="P35" s="2"/>
    </row>
    <row r="36" spans="1:16">
      <c r="A36" s="2" t="str">
        <f>'المدخرات والاستثمار'!A7</f>
        <v>فبراير</v>
      </c>
      <c r="B36" s="2">
        <f>'المدخرات والاستثمار'!G7</f>
        <v>5500</v>
      </c>
      <c r="C36" s="2">
        <f>SUMIFS(الميزانية!$E$6:$E$185,الميزانية!$A$6:$A$185,A36,الميزانية!$C$6:$C$185,"دخل")</f>
        <v>0</v>
      </c>
      <c r="D36" s="2">
        <f>SUMIFS(الميزانية!$E$6:$E$185,الميزانية!$A$6:$A$185,A36,الميزانية!$C$6:$C$185,"مصروف")</f>
        <v>0</v>
      </c>
      <c r="E36" s="2"/>
      <c r="F36" s="2" t="s">
        <v>20</v>
      </c>
      <c r="G36" s="2">
        <f>COUNTIF(الأهداف!$H$6:$H$35,F36)</f>
        <v>0</v>
      </c>
      <c r="H36" s="2"/>
      <c r="I36" s="2">
        <v>1</v>
      </c>
      <c r="J36" s="2">
        <f>COUNTIF(العادات!$D$6:$BC$25,I36)</f>
        <v>0</v>
      </c>
      <c r="K36" s="2"/>
      <c r="L36" s="2"/>
      <c r="M36" s="2"/>
      <c r="N36" s="2"/>
      <c r="O36" s="2"/>
      <c r="P36" s="2"/>
    </row>
    <row r="37" spans="1:16">
      <c r="A37" s="2" t="str">
        <f>'المدخرات والاستثمار'!A8</f>
        <v>مارس</v>
      </c>
      <c r="B37" s="2">
        <f>'المدخرات والاستثمار'!G8</f>
        <v>5500</v>
      </c>
      <c r="C37" s="2">
        <f>SUMIFS(الميزانية!$E$6:$E$185,الميزانية!$A$6:$A$185,A37,الميزانية!$C$6:$C$185,"دخل")</f>
        <v>0</v>
      </c>
      <c r="D37" s="2">
        <f>SUMIFS(الميزانية!$E$6:$E$185,الميزانية!$A$6:$A$185,A37,الميزانية!$C$6:$C$185,"مصروف")</f>
        <v>0</v>
      </c>
      <c r="E37" s="2"/>
      <c r="F37" s="2" t="s">
        <v>21</v>
      </c>
      <c r="G37" s="2">
        <f>COUNTIF(الأهداف!$H$6:$H$35,F37)</f>
        <v>0</v>
      </c>
      <c r="H37" s="2"/>
      <c r="I37" s="2">
        <v>2</v>
      </c>
      <c r="J37" s="2">
        <f>COUNTIF(العادات!$D$6:$BC$25,I37)</f>
        <v>0</v>
      </c>
      <c r="K37" s="2"/>
      <c r="L37" s="2"/>
      <c r="M37" s="2"/>
      <c r="N37" s="2"/>
      <c r="O37" s="2"/>
      <c r="P37" s="2"/>
    </row>
    <row r="38" spans="1:16">
      <c r="A38" s="2" t="str">
        <f>'المدخرات والاستثمار'!A9</f>
        <v>أبريل</v>
      </c>
      <c r="B38" s="2">
        <f>'المدخرات والاستثمار'!G9</f>
        <v>5500</v>
      </c>
      <c r="C38" s="2">
        <f>SUMIFS(الميزانية!$E$6:$E$185,الميزانية!$A$6:$A$185,A38,الميزانية!$C$6:$C$185,"دخل")</f>
        <v>0</v>
      </c>
      <c r="D38" s="2">
        <f>SUMIFS(الميزانية!$E$6:$E$185,الميزانية!$A$6:$A$185,A38,الميزانية!$C$6:$C$185,"مصروف")</f>
        <v>0</v>
      </c>
      <c r="E38" s="2"/>
      <c r="F38" s="2" t="s">
        <v>22</v>
      </c>
      <c r="G38" s="2">
        <f>COUNTIF(الأهداف!$H$6:$H$35,F38)</f>
        <v>0</v>
      </c>
      <c r="H38" s="2"/>
      <c r="I38" s="2">
        <v>3</v>
      </c>
      <c r="J38" s="2">
        <f>COUNTIF(العادات!$D$6:$BC$25,I38)</f>
        <v>0</v>
      </c>
      <c r="K38" s="2"/>
      <c r="L38" s="2"/>
      <c r="M38" s="2"/>
      <c r="N38" s="2"/>
      <c r="O38" s="2"/>
      <c r="P38" s="2"/>
    </row>
    <row r="39" spans="1:16">
      <c r="A39" s="2" t="str">
        <f>'المدخرات والاستثمار'!A10</f>
        <v>مايو</v>
      </c>
      <c r="B39" s="2">
        <f>'المدخرات والاستثمار'!G10</f>
        <v>5500</v>
      </c>
      <c r="C39" s="2">
        <f>SUMIFS(الميزانية!$E$6:$E$185,الميزانية!$A$6:$A$185,A39,الميزانية!$C$6:$C$185,"دخل")</f>
        <v>0</v>
      </c>
      <c r="D39" s="2">
        <f>SUMIFS(الميزانية!$E$6:$E$185,الميزانية!$A$6:$A$185,A39,الميزانية!$C$6:$C$185,"مصروف")</f>
        <v>0</v>
      </c>
      <c r="E39" s="2"/>
      <c r="F39" s="2" t="s">
        <v>23</v>
      </c>
      <c r="G39" s="2">
        <f>COUNTIF(الأهداف!$H$6:$H$35,F39)</f>
        <v>0</v>
      </c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 t="str">
        <f>'المدخرات والاستثمار'!A11</f>
        <v>يونيو</v>
      </c>
      <c r="B40" s="2">
        <f>'المدخرات والاستثمار'!G11</f>
        <v>5500</v>
      </c>
      <c r="C40" s="2">
        <f>SUMIFS(الميزانية!$E$6:$E$185,الميزانية!$A$6:$A$185,A40,الميزانية!$C$6:$C$185,"دخل")</f>
        <v>0</v>
      </c>
      <c r="D40" s="2">
        <f>SUMIFS(الميزانية!$E$6:$E$185,الميزانية!$A$6:$A$185,A40,الميزانية!$C$6:$C$185,"مصروف")</f>
        <v>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 t="str">
        <f>'المدخرات والاستثمار'!A12</f>
        <v>يوليو</v>
      </c>
      <c r="B41" s="2">
        <f>'المدخرات والاستثمار'!G12</f>
        <v>5500</v>
      </c>
      <c r="C41" s="2">
        <f>SUMIFS(الميزانية!$E$6:$E$185,الميزانية!$A$6:$A$185,A41,الميزانية!$C$6:$C$185,"دخل")</f>
        <v>0</v>
      </c>
      <c r="D41" s="2">
        <f>SUMIFS(الميزانية!$E$6:$E$185,الميزانية!$A$6:$A$185,A41,الميزانية!$C$6:$C$185,"مصروف")</f>
        <v>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 t="str">
        <f>'المدخرات والاستثمار'!A13</f>
        <v>أغسطس</v>
      </c>
      <c r="B42" s="2">
        <f>'المدخرات والاستثمار'!G13</f>
        <v>5500</v>
      </c>
      <c r="C42" s="2">
        <f>SUMIFS(الميزانية!$E$6:$E$185,الميزانية!$A$6:$A$185,A42,الميزانية!$C$6:$C$185,"دخل")</f>
        <v>0</v>
      </c>
      <c r="D42" s="2">
        <f>SUMIFS(الميزانية!$E$6:$E$185,الميزانية!$A$6:$A$185,A42,الميزانية!$C$6:$C$185,"مصروف")</f>
        <v>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 t="str">
        <f>'المدخرات والاستثمار'!A14</f>
        <v>سبتمبر</v>
      </c>
      <c r="B43" s="2">
        <f>'المدخرات والاستثمار'!G14</f>
        <v>5500</v>
      </c>
      <c r="C43" s="2">
        <f>SUMIFS(الميزانية!$E$6:$E$185,الميزانية!$A$6:$A$185,A43,الميزانية!$C$6:$C$185,"دخل")</f>
        <v>0</v>
      </c>
      <c r="D43" s="2">
        <f>SUMIFS(الميزانية!$E$6:$E$185,الميزانية!$A$6:$A$185,A43,الميزانية!$C$6:$C$185,"مصروف")</f>
        <v>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 t="str">
        <f>'المدخرات والاستثمار'!A15</f>
        <v>أكتوبر</v>
      </c>
      <c r="B44" s="2">
        <f>'المدخرات والاستثمار'!G15</f>
        <v>5500</v>
      </c>
      <c r="C44" s="2">
        <f>SUMIFS(الميزانية!$E$6:$E$185,الميزانية!$A$6:$A$185,A44,الميزانية!$C$6:$C$185,"دخل")</f>
        <v>0</v>
      </c>
      <c r="D44" s="2">
        <f>SUMIFS(الميزانية!$E$6:$E$185,الميزانية!$A$6:$A$185,A44,الميزانية!$C$6:$C$185,"مصروف")</f>
        <v>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 t="str">
        <f>'المدخرات والاستثمار'!A16</f>
        <v>نوفمبر</v>
      </c>
      <c r="B45" s="2">
        <f>'المدخرات والاستثمار'!G16</f>
        <v>5500</v>
      </c>
      <c r="C45" s="2">
        <f>SUMIFS(الميزانية!$E$6:$E$185,الميزانية!$A$6:$A$185,A45,الميزانية!$C$6:$C$185,"دخل")</f>
        <v>0</v>
      </c>
      <c r="D45" s="2">
        <f>SUMIFS(الميزانية!$E$6:$E$185,الميزانية!$A$6:$A$185,A45,الميزانية!$C$6:$C$185,"مصروف")</f>
        <v>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 t="str">
        <f>'المدخرات والاستثمار'!A17</f>
        <v>ديسمبر</v>
      </c>
      <c r="B46" s="2">
        <f>'المدخرات والاستثمار'!G17</f>
        <v>5500</v>
      </c>
      <c r="C46" s="2">
        <f>SUMIFS(الميزانية!$E$6:$E$185,الميزانية!$A$6:$A$185,A46,الميزانية!$C$6:$C$185,"دخل")</f>
        <v>0</v>
      </c>
      <c r="D46" s="2">
        <f>SUMIFS(الميزانية!$E$6:$E$185,الميزانية!$A$6:$A$185,A46,الميزانية!$C$6:$C$185,"مصروف")</f>
        <v>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</sheetData>
  <mergeCells count="23">
    <mergeCell ref="J10:L10"/>
    <mergeCell ref="J11:L12"/>
    <mergeCell ref="M10:P10"/>
    <mergeCell ref="M11:P12"/>
    <mergeCell ref="A15:P15"/>
    <mergeCell ref="A10:C10"/>
    <mergeCell ref="A11:C12"/>
    <mergeCell ref="D10:F10"/>
    <mergeCell ref="D11:F12"/>
    <mergeCell ref="G10:I10"/>
    <mergeCell ref="G11:I12"/>
    <mergeCell ref="A1:P1"/>
    <mergeCell ref="A3:P3"/>
    <mergeCell ref="A5:C5"/>
    <mergeCell ref="A6:C7"/>
    <mergeCell ref="D5:F5"/>
    <mergeCell ref="D6:F7"/>
    <mergeCell ref="G5:I5"/>
    <mergeCell ref="G6:I7"/>
    <mergeCell ref="J5:L5"/>
    <mergeCell ref="J6:L7"/>
    <mergeCell ref="M5:P5"/>
    <mergeCell ref="M6:P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7"/>
  <sheetViews>
    <sheetView showGridLines="0" workbookViewId="0">
      <selection activeCell="C7" sqref="C7"/>
    </sheetView>
  </sheetViews>
  <sheetFormatPr defaultRowHeight="14.25"/>
  <cols>
    <col min="1" max="1" width="10" customWidth="1"/>
    <col min="2" max="2" width="13" customWidth="1"/>
    <col min="3" max="5" width="16" customWidth="1"/>
    <col min="6" max="6" width="13" customWidth="1"/>
    <col min="7" max="7" width="18" customWidth="1"/>
    <col min="8" max="8" width="15" customWidth="1"/>
    <col min="9" max="9" width="14" customWidth="1"/>
    <col min="10" max="12" width="16" customWidth="1"/>
  </cols>
  <sheetData>
    <row r="1" spans="1:12" ht="32.1" customHeight="1">
      <c r="A1" s="13" t="s">
        <v>24</v>
      </c>
      <c r="B1" s="13" t="s">
        <v>24</v>
      </c>
      <c r="C1" s="13" t="s">
        <v>24</v>
      </c>
      <c r="D1" s="13" t="s">
        <v>24</v>
      </c>
      <c r="E1" s="13" t="s">
        <v>24</v>
      </c>
      <c r="F1" s="13" t="s">
        <v>24</v>
      </c>
      <c r="G1" s="13" t="s">
        <v>24</v>
      </c>
      <c r="H1" s="13" t="s">
        <v>24</v>
      </c>
      <c r="I1" s="13" t="s">
        <v>24</v>
      </c>
      <c r="J1" s="13" t="s">
        <v>24</v>
      </c>
      <c r="K1" s="13" t="s">
        <v>24</v>
      </c>
      <c r="L1" s="13" t="s">
        <v>24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0.100000000000001" customHeight="1">
      <c r="A3" s="14" t="s">
        <v>25</v>
      </c>
      <c r="B3" s="14" t="s">
        <v>25</v>
      </c>
      <c r="C3" s="14" t="s">
        <v>25</v>
      </c>
      <c r="D3" s="14" t="s">
        <v>25</v>
      </c>
      <c r="E3" s="14" t="s">
        <v>25</v>
      </c>
      <c r="F3" s="14" t="s">
        <v>25</v>
      </c>
      <c r="G3" s="14" t="s">
        <v>25</v>
      </c>
      <c r="H3" s="14" t="s">
        <v>25</v>
      </c>
      <c r="I3" s="14" t="s">
        <v>25</v>
      </c>
      <c r="J3" s="14" t="s">
        <v>25</v>
      </c>
      <c r="K3" s="14" t="s">
        <v>25</v>
      </c>
      <c r="L3" s="14" t="s">
        <v>25</v>
      </c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0" customHeight="1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  <c r="L5" s="1" t="s">
        <v>37</v>
      </c>
    </row>
    <row r="6" spans="1:12">
      <c r="A6" s="3">
        <v>1</v>
      </c>
      <c r="B6" s="4">
        <f>DATE(الإعدادات!$B$6,1,1)+(A6-1)*7</f>
        <v>46023</v>
      </c>
      <c r="C6" s="5">
        <v>1</v>
      </c>
      <c r="D6" s="5">
        <v>100</v>
      </c>
      <c r="E6" s="5">
        <v>1000</v>
      </c>
      <c r="F6" s="5">
        <v>1000</v>
      </c>
      <c r="G6" s="5">
        <v>1000</v>
      </c>
      <c r="H6" s="5">
        <v>1000</v>
      </c>
      <c r="I6" s="5">
        <v>5000</v>
      </c>
      <c r="J6" s="6">
        <f>SUM(D6:I6)</f>
        <v>9100</v>
      </c>
      <c r="K6" s="6">
        <f t="shared" ref="K6:K37" si="0">J6-I6</f>
        <v>4100</v>
      </c>
      <c r="L6" s="6">
        <f t="shared" ref="L6:L37" si="1">K6-C6</f>
        <v>4099</v>
      </c>
    </row>
    <row r="7" spans="1:12">
      <c r="A7" s="3">
        <v>2</v>
      </c>
      <c r="B7" s="4">
        <f>DATE(الإعدادات!$B$6,1,1)+(A7-1)*7</f>
        <v>46030</v>
      </c>
      <c r="C7" s="5"/>
      <c r="D7" s="5"/>
      <c r="E7" s="5"/>
      <c r="F7" s="5"/>
      <c r="G7" s="5"/>
      <c r="H7" s="5"/>
      <c r="I7" s="5"/>
      <c r="J7" s="6">
        <f t="shared" ref="J6:J37" si="2">SUM(D7:H7)</f>
        <v>0</v>
      </c>
      <c r="K7" s="6">
        <f t="shared" si="0"/>
        <v>0</v>
      </c>
      <c r="L7" s="6">
        <f t="shared" si="1"/>
        <v>0</v>
      </c>
    </row>
    <row r="8" spans="1:12">
      <c r="A8" s="3">
        <v>3</v>
      </c>
      <c r="B8" s="4">
        <f>DATE(الإعدادات!$B$6,1,1)+(A8-1)*7</f>
        <v>46037</v>
      </c>
      <c r="C8" s="5"/>
      <c r="D8" s="5"/>
      <c r="E8" s="5"/>
      <c r="F8" s="5"/>
      <c r="G8" s="5"/>
      <c r="H8" s="5"/>
      <c r="I8" s="5"/>
      <c r="J8" s="6">
        <f t="shared" si="2"/>
        <v>0</v>
      </c>
      <c r="K8" s="6">
        <f t="shared" si="0"/>
        <v>0</v>
      </c>
      <c r="L8" s="6">
        <f t="shared" si="1"/>
        <v>0</v>
      </c>
    </row>
    <row r="9" spans="1:12">
      <c r="A9" s="3">
        <v>4</v>
      </c>
      <c r="B9" s="4">
        <f>DATE(الإعدادات!$B$6,1,1)+(A9-1)*7</f>
        <v>46044</v>
      </c>
      <c r="C9" s="5"/>
      <c r="D9" s="5"/>
      <c r="E9" s="5"/>
      <c r="F9" s="5"/>
      <c r="G9" s="5"/>
      <c r="H9" s="5"/>
      <c r="I9" s="5"/>
      <c r="J9" s="6">
        <f t="shared" si="2"/>
        <v>0</v>
      </c>
      <c r="K9" s="6">
        <f t="shared" si="0"/>
        <v>0</v>
      </c>
      <c r="L9" s="6">
        <f t="shared" si="1"/>
        <v>0</v>
      </c>
    </row>
    <row r="10" spans="1:12">
      <c r="A10" s="3">
        <v>5</v>
      </c>
      <c r="B10" s="4">
        <f>DATE(الإعدادات!$B$6,1,1)+(A10-1)*7</f>
        <v>46051</v>
      </c>
      <c r="C10" s="5"/>
      <c r="D10" s="5"/>
      <c r="E10" s="5"/>
      <c r="F10" s="5"/>
      <c r="G10" s="5"/>
      <c r="H10" s="5"/>
      <c r="I10" s="5"/>
      <c r="J10" s="6">
        <f t="shared" si="2"/>
        <v>0</v>
      </c>
      <c r="K10" s="6">
        <f t="shared" si="0"/>
        <v>0</v>
      </c>
      <c r="L10" s="6">
        <f t="shared" si="1"/>
        <v>0</v>
      </c>
    </row>
    <row r="11" spans="1:12">
      <c r="A11" s="3">
        <v>6</v>
      </c>
      <c r="B11" s="4">
        <f>DATE(الإعدادات!$B$6,1,1)+(A11-1)*7</f>
        <v>46058</v>
      </c>
      <c r="C11" s="5"/>
      <c r="D11" s="5"/>
      <c r="E11" s="5"/>
      <c r="F11" s="5"/>
      <c r="G11" s="5"/>
      <c r="H11" s="5"/>
      <c r="I11" s="5"/>
      <c r="J11" s="6">
        <f t="shared" si="2"/>
        <v>0</v>
      </c>
      <c r="K11" s="6">
        <f t="shared" si="0"/>
        <v>0</v>
      </c>
      <c r="L11" s="6">
        <f t="shared" si="1"/>
        <v>0</v>
      </c>
    </row>
    <row r="12" spans="1:12">
      <c r="A12" s="3">
        <v>7</v>
      </c>
      <c r="B12" s="4">
        <f>DATE(الإعدادات!$B$6,1,1)+(A12-1)*7</f>
        <v>46065</v>
      </c>
      <c r="C12" s="5"/>
      <c r="D12" s="5"/>
      <c r="E12" s="5"/>
      <c r="F12" s="5"/>
      <c r="G12" s="5"/>
      <c r="H12" s="5"/>
      <c r="I12" s="5"/>
      <c r="J12" s="6">
        <f t="shared" si="2"/>
        <v>0</v>
      </c>
      <c r="K12" s="6">
        <f t="shared" si="0"/>
        <v>0</v>
      </c>
      <c r="L12" s="6">
        <f t="shared" si="1"/>
        <v>0</v>
      </c>
    </row>
    <row r="13" spans="1:12">
      <c r="A13" s="3">
        <v>8</v>
      </c>
      <c r="B13" s="4">
        <f>DATE(الإعدادات!$B$6,1,1)+(A13-1)*7</f>
        <v>46072</v>
      </c>
      <c r="C13" s="5"/>
      <c r="D13" s="5"/>
      <c r="E13" s="5"/>
      <c r="F13" s="5"/>
      <c r="G13" s="5"/>
      <c r="H13" s="5"/>
      <c r="I13" s="5"/>
      <c r="J13" s="6">
        <f t="shared" si="2"/>
        <v>0</v>
      </c>
      <c r="K13" s="6">
        <f t="shared" si="0"/>
        <v>0</v>
      </c>
      <c r="L13" s="6">
        <f t="shared" si="1"/>
        <v>0</v>
      </c>
    </row>
    <row r="14" spans="1:12">
      <c r="A14" s="3">
        <v>9</v>
      </c>
      <c r="B14" s="4">
        <f>DATE(الإعدادات!$B$6,1,1)+(A14-1)*7</f>
        <v>46079</v>
      </c>
      <c r="C14" s="5"/>
      <c r="D14" s="5"/>
      <c r="E14" s="5"/>
      <c r="F14" s="5"/>
      <c r="G14" s="5"/>
      <c r="H14" s="5"/>
      <c r="I14" s="5"/>
      <c r="J14" s="6">
        <f t="shared" si="2"/>
        <v>0</v>
      </c>
      <c r="K14" s="6">
        <f t="shared" si="0"/>
        <v>0</v>
      </c>
      <c r="L14" s="6">
        <f t="shared" si="1"/>
        <v>0</v>
      </c>
    </row>
    <row r="15" spans="1:12">
      <c r="A15" s="3">
        <v>10</v>
      </c>
      <c r="B15" s="4">
        <f>DATE(الإعدادات!$B$6,1,1)+(A15-1)*7</f>
        <v>46086</v>
      </c>
      <c r="C15" s="5"/>
      <c r="D15" s="5"/>
      <c r="E15" s="5"/>
      <c r="F15" s="5"/>
      <c r="G15" s="5"/>
      <c r="H15" s="5"/>
      <c r="I15" s="5"/>
      <c r="J15" s="6">
        <f t="shared" si="2"/>
        <v>0</v>
      </c>
      <c r="K15" s="6">
        <f t="shared" si="0"/>
        <v>0</v>
      </c>
      <c r="L15" s="6">
        <f t="shared" si="1"/>
        <v>0</v>
      </c>
    </row>
    <row r="16" spans="1:12">
      <c r="A16" s="3">
        <v>11</v>
      </c>
      <c r="B16" s="4">
        <f>DATE(الإعدادات!$B$6,1,1)+(A16-1)*7</f>
        <v>46093</v>
      </c>
      <c r="C16" s="5"/>
      <c r="D16" s="5"/>
      <c r="E16" s="5"/>
      <c r="F16" s="5"/>
      <c r="G16" s="5"/>
      <c r="H16" s="5"/>
      <c r="I16" s="5"/>
      <c r="J16" s="6">
        <f t="shared" si="2"/>
        <v>0</v>
      </c>
      <c r="K16" s="6">
        <f t="shared" si="0"/>
        <v>0</v>
      </c>
      <c r="L16" s="6">
        <f t="shared" si="1"/>
        <v>0</v>
      </c>
    </row>
    <row r="17" spans="1:12">
      <c r="A17" s="3">
        <v>12</v>
      </c>
      <c r="B17" s="4">
        <f>DATE(الإعدادات!$B$6,1,1)+(A17-1)*7</f>
        <v>46100</v>
      </c>
      <c r="C17" s="5"/>
      <c r="D17" s="5"/>
      <c r="E17" s="5"/>
      <c r="F17" s="5"/>
      <c r="G17" s="5"/>
      <c r="H17" s="5"/>
      <c r="I17" s="5"/>
      <c r="J17" s="6">
        <f t="shared" si="2"/>
        <v>0</v>
      </c>
      <c r="K17" s="6">
        <f t="shared" si="0"/>
        <v>0</v>
      </c>
      <c r="L17" s="6">
        <f t="shared" si="1"/>
        <v>0</v>
      </c>
    </row>
    <row r="18" spans="1:12">
      <c r="A18" s="3">
        <v>13</v>
      </c>
      <c r="B18" s="4">
        <f>DATE(الإعدادات!$B$6,1,1)+(A18-1)*7</f>
        <v>46107</v>
      </c>
      <c r="C18" s="5"/>
      <c r="D18" s="5"/>
      <c r="E18" s="5"/>
      <c r="F18" s="5"/>
      <c r="G18" s="5"/>
      <c r="H18" s="5"/>
      <c r="I18" s="5"/>
      <c r="J18" s="6">
        <f t="shared" si="2"/>
        <v>0</v>
      </c>
      <c r="K18" s="6">
        <f t="shared" si="0"/>
        <v>0</v>
      </c>
      <c r="L18" s="6">
        <f t="shared" si="1"/>
        <v>0</v>
      </c>
    </row>
    <row r="19" spans="1:12">
      <c r="A19" s="3">
        <v>14</v>
      </c>
      <c r="B19" s="4">
        <f>DATE(الإعدادات!$B$6,1,1)+(A19-1)*7</f>
        <v>46114</v>
      </c>
      <c r="C19" s="5"/>
      <c r="D19" s="5"/>
      <c r="E19" s="5"/>
      <c r="F19" s="5"/>
      <c r="G19" s="5"/>
      <c r="H19" s="5"/>
      <c r="I19" s="5"/>
      <c r="J19" s="6">
        <f t="shared" si="2"/>
        <v>0</v>
      </c>
      <c r="K19" s="6">
        <f t="shared" si="0"/>
        <v>0</v>
      </c>
      <c r="L19" s="6">
        <f t="shared" si="1"/>
        <v>0</v>
      </c>
    </row>
    <row r="20" spans="1:12">
      <c r="A20" s="3">
        <v>15</v>
      </c>
      <c r="B20" s="4">
        <f>DATE(الإعدادات!$B$6,1,1)+(A20-1)*7</f>
        <v>46121</v>
      </c>
      <c r="C20" s="5"/>
      <c r="D20" s="5"/>
      <c r="E20" s="5"/>
      <c r="F20" s="5"/>
      <c r="G20" s="5"/>
      <c r="H20" s="5"/>
      <c r="I20" s="5"/>
      <c r="J20" s="6">
        <f t="shared" si="2"/>
        <v>0</v>
      </c>
      <c r="K20" s="6">
        <f t="shared" si="0"/>
        <v>0</v>
      </c>
      <c r="L20" s="6">
        <f t="shared" si="1"/>
        <v>0</v>
      </c>
    </row>
    <row r="21" spans="1:12">
      <c r="A21" s="3">
        <v>16</v>
      </c>
      <c r="B21" s="4">
        <f>DATE(الإعدادات!$B$6,1,1)+(A21-1)*7</f>
        <v>46128</v>
      </c>
      <c r="C21" s="5"/>
      <c r="D21" s="5"/>
      <c r="E21" s="5"/>
      <c r="F21" s="5"/>
      <c r="G21" s="5"/>
      <c r="H21" s="5"/>
      <c r="I21" s="5"/>
      <c r="J21" s="6">
        <f t="shared" si="2"/>
        <v>0</v>
      </c>
      <c r="K21" s="6">
        <f t="shared" si="0"/>
        <v>0</v>
      </c>
      <c r="L21" s="6">
        <f t="shared" si="1"/>
        <v>0</v>
      </c>
    </row>
    <row r="22" spans="1:12">
      <c r="A22" s="3">
        <v>17</v>
      </c>
      <c r="B22" s="4">
        <f>DATE(الإعدادات!$B$6,1,1)+(A22-1)*7</f>
        <v>46135</v>
      </c>
      <c r="C22" s="5"/>
      <c r="D22" s="5"/>
      <c r="E22" s="5"/>
      <c r="F22" s="5"/>
      <c r="G22" s="5"/>
      <c r="H22" s="5"/>
      <c r="I22" s="5"/>
      <c r="J22" s="6">
        <f t="shared" si="2"/>
        <v>0</v>
      </c>
      <c r="K22" s="6">
        <f t="shared" si="0"/>
        <v>0</v>
      </c>
      <c r="L22" s="6">
        <f t="shared" si="1"/>
        <v>0</v>
      </c>
    </row>
    <row r="23" spans="1:12">
      <c r="A23" s="3">
        <v>18</v>
      </c>
      <c r="B23" s="4">
        <f>DATE(الإعدادات!$B$6,1,1)+(A23-1)*7</f>
        <v>46142</v>
      </c>
      <c r="C23" s="5"/>
      <c r="D23" s="5"/>
      <c r="E23" s="5"/>
      <c r="F23" s="5"/>
      <c r="G23" s="5"/>
      <c r="H23" s="5"/>
      <c r="I23" s="5"/>
      <c r="J23" s="6">
        <f t="shared" si="2"/>
        <v>0</v>
      </c>
      <c r="K23" s="6">
        <f t="shared" si="0"/>
        <v>0</v>
      </c>
      <c r="L23" s="6">
        <f t="shared" si="1"/>
        <v>0</v>
      </c>
    </row>
    <row r="24" spans="1:12">
      <c r="A24" s="3">
        <v>19</v>
      </c>
      <c r="B24" s="4">
        <f>DATE(الإعدادات!$B$6,1,1)+(A24-1)*7</f>
        <v>46149</v>
      </c>
      <c r="C24" s="5"/>
      <c r="D24" s="5"/>
      <c r="E24" s="5"/>
      <c r="F24" s="5"/>
      <c r="G24" s="5"/>
      <c r="H24" s="5"/>
      <c r="I24" s="5"/>
      <c r="J24" s="6">
        <f t="shared" si="2"/>
        <v>0</v>
      </c>
      <c r="K24" s="6">
        <f t="shared" si="0"/>
        <v>0</v>
      </c>
      <c r="L24" s="6">
        <f t="shared" si="1"/>
        <v>0</v>
      </c>
    </row>
    <row r="25" spans="1:12">
      <c r="A25" s="3">
        <v>20</v>
      </c>
      <c r="B25" s="4">
        <f>DATE(الإعدادات!$B$6,1,1)+(A25-1)*7</f>
        <v>46156</v>
      </c>
      <c r="C25" s="5"/>
      <c r="D25" s="5"/>
      <c r="E25" s="5"/>
      <c r="F25" s="5"/>
      <c r="G25" s="5"/>
      <c r="H25" s="5"/>
      <c r="I25" s="5"/>
      <c r="J25" s="6">
        <f t="shared" si="2"/>
        <v>0</v>
      </c>
      <c r="K25" s="6">
        <f t="shared" si="0"/>
        <v>0</v>
      </c>
      <c r="L25" s="6">
        <f t="shared" si="1"/>
        <v>0</v>
      </c>
    </row>
    <row r="26" spans="1:12">
      <c r="A26" s="3">
        <v>21</v>
      </c>
      <c r="B26" s="4">
        <f>DATE(الإعدادات!$B$6,1,1)+(A26-1)*7</f>
        <v>46163</v>
      </c>
      <c r="C26" s="5"/>
      <c r="D26" s="5"/>
      <c r="E26" s="5"/>
      <c r="F26" s="5"/>
      <c r="G26" s="5"/>
      <c r="H26" s="5"/>
      <c r="I26" s="5"/>
      <c r="J26" s="6">
        <f t="shared" si="2"/>
        <v>0</v>
      </c>
      <c r="K26" s="6">
        <f t="shared" si="0"/>
        <v>0</v>
      </c>
      <c r="L26" s="6">
        <f t="shared" si="1"/>
        <v>0</v>
      </c>
    </row>
    <row r="27" spans="1:12">
      <c r="A27" s="3">
        <v>22</v>
      </c>
      <c r="B27" s="4">
        <f>DATE(الإعدادات!$B$6,1,1)+(A27-1)*7</f>
        <v>46170</v>
      </c>
      <c r="C27" s="5"/>
      <c r="D27" s="5"/>
      <c r="E27" s="5"/>
      <c r="F27" s="5"/>
      <c r="G27" s="5"/>
      <c r="H27" s="5"/>
      <c r="I27" s="5"/>
      <c r="J27" s="6">
        <f t="shared" si="2"/>
        <v>0</v>
      </c>
      <c r="K27" s="6">
        <f t="shared" si="0"/>
        <v>0</v>
      </c>
      <c r="L27" s="6">
        <f t="shared" si="1"/>
        <v>0</v>
      </c>
    </row>
    <row r="28" spans="1:12">
      <c r="A28" s="3">
        <v>23</v>
      </c>
      <c r="B28" s="4">
        <f>DATE(الإعدادات!$B$6,1,1)+(A28-1)*7</f>
        <v>46177</v>
      </c>
      <c r="C28" s="5"/>
      <c r="D28" s="5"/>
      <c r="E28" s="5"/>
      <c r="F28" s="5"/>
      <c r="G28" s="5"/>
      <c r="H28" s="5"/>
      <c r="I28" s="5"/>
      <c r="J28" s="6">
        <f t="shared" si="2"/>
        <v>0</v>
      </c>
      <c r="K28" s="6">
        <f t="shared" si="0"/>
        <v>0</v>
      </c>
      <c r="L28" s="6">
        <f t="shared" si="1"/>
        <v>0</v>
      </c>
    </row>
    <row r="29" spans="1:12">
      <c r="A29" s="3">
        <v>24</v>
      </c>
      <c r="B29" s="4">
        <f>DATE(الإعدادات!$B$6,1,1)+(A29-1)*7</f>
        <v>46184</v>
      </c>
      <c r="C29" s="5"/>
      <c r="D29" s="5"/>
      <c r="E29" s="5"/>
      <c r="F29" s="5"/>
      <c r="G29" s="5"/>
      <c r="H29" s="5"/>
      <c r="I29" s="5"/>
      <c r="J29" s="6">
        <f t="shared" si="2"/>
        <v>0</v>
      </c>
      <c r="K29" s="6">
        <f t="shared" si="0"/>
        <v>0</v>
      </c>
      <c r="L29" s="6">
        <f t="shared" si="1"/>
        <v>0</v>
      </c>
    </row>
    <row r="30" spans="1:12">
      <c r="A30" s="3">
        <v>25</v>
      </c>
      <c r="B30" s="4">
        <f>DATE(الإعدادات!$B$6,1,1)+(A30-1)*7</f>
        <v>46191</v>
      </c>
      <c r="C30" s="5"/>
      <c r="D30" s="5"/>
      <c r="E30" s="5"/>
      <c r="F30" s="5"/>
      <c r="G30" s="5"/>
      <c r="H30" s="5"/>
      <c r="I30" s="5"/>
      <c r="J30" s="6">
        <f t="shared" si="2"/>
        <v>0</v>
      </c>
      <c r="K30" s="6">
        <f t="shared" si="0"/>
        <v>0</v>
      </c>
      <c r="L30" s="6">
        <f t="shared" si="1"/>
        <v>0</v>
      </c>
    </row>
    <row r="31" spans="1:12">
      <c r="A31" s="3">
        <v>26</v>
      </c>
      <c r="B31" s="4">
        <f>DATE(الإعدادات!$B$6,1,1)+(A31-1)*7</f>
        <v>46198</v>
      </c>
      <c r="C31" s="5"/>
      <c r="D31" s="5"/>
      <c r="E31" s="5"/>
      <c r="F31" s="5"/>
      <c r="G31" s="5"/>
      <c r="H31" s="5"/>
      <c r="I31" s="5"/>
      <c r="J31" s="6">
        <f t="shared" si="2"/>
        <v>0</v>
      </c>
      <c r="K31" s="6">
        <f t="shared" si="0"/>
        <v>0</v>
      </c>
      <c r="L31" s="6">
        <f t="shared" si="1"/>
        <v>0</v>
      </c>
    </row>
    <row r="32" spans="1:12">
      <c r="A32" s="3">
        <v>27</v>
      </c>
      <c r="B32" s="4">
        <f>DATE(الإعدادات!$B$6,1,1)+(A32-1)*7</f>
        <v>46205</v>
      </c>
      <c r="C32" s="5"/>
      <c r="D32" s="5"/>
      <c r="E32" s="5"/>
      <c r="F32" s="5"/>
      <c r="G32" s="5"/>
      <c r="H32" s="5"/>
      <c r="I32" s="5"/>
      <c r="J32" s="6">
        <f t="shared" si="2"/>
        <v>0</v>
      </c>
      <c r="K32" s="6">
        <f t="shared" si="0"/>
        <v>0</v>
      </c>
      <c r="L32" s="6">
        <f t="shared" si="1"/>
        <v>0</v>
      </c>
    </row>
    <row r="33" spans="1:12">
      <c r="A33" s="3">
        <v>28</v>
      </c>
      <c r="B33" s="4">
        <f>DATE(الإعدادات!$B$6,1,1)+(A33-1)*7</f>
        <v>46212</v>
      </c>
      <c r="C33" s="5"/>
      <c r="D33" s="5"/>
      <c r="E33" s="5"/>
      <c r="F33" s="5"/>
      <c r="G33" s="5"/>
      <c r="H33" s="5"/>
      <c r="I33" s="5"/>
      <c r="J33" s="6">
        <f t="shared" si="2"/>
        <v>0</v>
      </c>
      <c r="K33" s="6">
        <f t="shared" si="0"/>
        <v>0</v>
      </c>
      <c r="L33" s="6">
        <f t="shared" si="1"/>
        <v>0</v>
      </c>
    </row>
    <row r="34" spans="1:12">
      <c r="A34" s="3">
        <v>29</v>
      </c>
      <c r="B34" s="4">
        <f>DATE(الإعدادات!$B$6,1,1)+(A34-1)*7</f>
        <v>46219</v>
      </c>
      <c r="C34" s="5"/>
      <c r="D34" s="5"/>
      <c r="E34" s="5"/>
      <c r="F34" s="5"/>
      <c r="G34" s="5"/>
      <c r="H34" s="5"/>
      <c r="I34" s="5"/>
      <c r="J34" s="6">
        <f t="shared" si="2"/>
        <v>0</v>
      </c>
      <c r="K34" s="6">
        <f t="shared" si="0"/>
        <v>0</v>
      </c>
      <c r="L34" s="6">
        <f t="shared" si="1"/>
        <v>0</v>
      </c>
    </row>
    <row r="35" spans="1:12">
      <c r="A35" s="3">
        <v>30</v>
      </c>
      <c r="B35" s="4">
        <f>DATE(الإعدادات!$B$6,1,1)+(A35-1)*7</f>
        <v>46226</v>
      </c>
      <c r="C35" s="5"/>
      <c r="D35" s="5"/>
      <c r="E35" s="5"/>
      <c r="F35" s="5"/>
      <c r="G35" s="5"/>
      <c r="H35" s="5"/>
      <c r="I35" s="5"/>
      <c r="J35" s="6">
        <f t="shared" si="2"/>
        <v>0</v>
      </c>
      <c r="K35" s="6">
        <f t="shared" si="0"/>
        <v>0</v>
      </c>
      <c r="L35" s="6">
        <f t="shared" si="1"/>
        <v>0</v>
      </c>
    </row>
    <row r="36" spans="1:12">
      <c r="A36" s="3">
        <v>31</v>
      </c>
      <c r="B36" s="4">
        <f>DATE(الإعدادات!$B$6,1,1)+(A36-1)*7</f>
        <v>46233</v>
      </c>
      <c r="C36" s="5"/>
      <c r="D36" s="5"/>
      <c r="E36" s="5"/>
      <c r="F36" s="5"/>
      <c r="G36" s="5"/>
      <c r="H36" s="5"/>
      <c r="I36" s="5"/>
      <c r="J36" s="6">
        <f t="shared" si="2"/>
        <v>0</v>
      </c>
      <c r="K36" s="6">
        <f t="shared" si="0"/>
        <v>0</v>
      </c>
      <c r="L36" s="6">
        <f t="shared" si="1"/>
        <v>0</v>
      </c>
    </row>
    <row r="37" spans="1:12">
      <c r="A37" s="3">
        <v>32</v>
      </c>
      <c r="B37" s="4">
        <f>DATE(الإعدادات!$B$6,1,1)+(A37-1)*7</f>
        <v>46240</v>
      </c>
      <c r="C37" s="5"/>
      <c r="D37" s="5"/>
      <c r="E37" s="5"/>
      <c r="F37" s="5"/>
      <c r="G37" s="5"/>
      <c r="H37" s="5"/>
      <c r="I37" s="5"/>
      <c r="J37" s="6">
        <f t="shared" si="2"/>
        <v>0</v>
      </c>
      <c r="K37" s="6">
        <f t="shared" si="0"/>
        <v>0</v>
      </c>
      <c r="L37" s="6">
        <f t="shared" si="1"/>
        <v>0</v>
      </c>
    </row>
    <row r="38" spans="1:12">
      <c r="A38" s="3">
        <v>33</v>
      </c>
      <c r="B38" s="4">
        <f>DATE(الإعدادات!$B$6,1,1)+(A38-1)*7</f>
        <v>46247</v>
      </c>
      <c r="C38" s="5"/>
      <c r="D38" s="5"/>
      <c r="E38" s="5"/>
      <c r="F38" s="5"/>
      <c r="G38" s="5"/>
      <c r="H38" s="5"/>
      <c r="I38" s="5"/>
      <c r="J38" s="6">
        <f t="shared" ref="J38:J57" si="3">SUM(D38:H38)</f>
        <v>0</v>
      </c>
      <c r="K38" s="6">
        <f t="shared" ref="K38:K69" si="4">J38-I38</f>
        <v>0</v>
      </c>
      <c r="L38" s="6">
        <f t="shared" ref="L38:L69" si="5">K38-C38</f>
        <v>0</v>
      </c>
    </row>
    <row r="39" spans="1:12">
      <c r="A39" s="3">
        <v>34</v>
      </c>
      <c r="B39" s="4">
        <f>DATE(الإعدادات!$B$6,1,1)+(A39-1)*7</f>
        <v>46254</v>
      </c>
      <c r="C39" s="5"/>
      <c r="D39" s="5"/>
      <c r="E39" s="5"/>
      <c r="F39" s="5"/>
      <c r="G39" s="5"/>
      <c r="H39" s="5"/>
      <c r="I39" s="5"/>
      <c r="J39" s="6">
        <f t="shared" si="3"/>
        <v>0</v>
      </c>
      <c r="K39" s="6">
        <f t="shared" si="4"/>
        <v>0</v>
      </c>
      <c r="L39" s="6">
        <f t="shared" si="5"/>
        <v>0</v>
      </c>
    </row>
    <row r="40" spans="1:12">
      <c r="A40" s="3">
        <v>35</v>
      </c>
      <c r="B40" s="4">
        <f>DATE(الإعدادات!$B$6,1,1)+(A40-1)*7</f>
        <v>46261</v>
      </c>
      <c r="C40" s="5"/>
      <c r="D40" s="5"/>
      <c r="E40" s="5"/>
      <c r="F40" s="5"/>
      <c r="G40" s="5"/>
      <c r="H40" s="5"/>
      <c r="I40" s="5"/>
      <c r="J40" s="6">
        <f t="shared" si="3"/>
        <v>0</v>
      </c>
      <c r="K40" s="6">
        <f t="shared" si="4"/>
        <v>0</v>
      </c>
      <c r="L40" s="6">
        <f t="shared" si="5"/>
        <v>0</v>
      </c>
    </row>
    <row r="41" spans="1:12">
      <c r="A41" s="3">
        <v>36</v>
      </c>
      <c r="B41" s="4">
        <f>DATE(الإعدادات!$B$6,1,1)+(A41-1)*7</f>
        <v>46268</v>
      </c>
      <c r="C41" s="5"/>
      <c r="D41" s="5"/>
      <c r="E41" s="5"/>
      <c r="F41" s="5"/>
      <c r="G41" s="5"/>
      <c r="H41" s="5"/>
      <c r="I41" s="5"/>
      <c r="J41" s="6">
        <f t="shared" si="3"/>
        <v>0</v>
      </c>
      <c r="K41" s="6">
        <f t="shared" si="4"/>
        <v>0</v>
      </c>
      <c r="L41" s="6">
        <f t="shared" si="5"/>
        <v>0</v>
      </c>
    </row>
    <row r="42" spans="1:12">
      <c r="A42" s="3">
        <v>37</v>
      </c>
      <c r="B42" s="4">
        <f>DATE(الإعدادات!$B$6,1,1)+(A42-1)*7</f>
        <v>46275</v>
      </c>
      <c r="C42" s="5"/>
      <c r="D42" s="5"/>
      <c r="E42" s="5"/>
      <c r="F42" s="5"/>
      <c r="G42" s="5"/>
      <c r="H42" s="5"/>
      <c r="I42" s="5"/>
      <c r="J42" s="6">
        <f t="shared" si="3"/>
        <v>0</v>
      </c>
      <c r="K42" s="6">
        <f t="shared" si="4"/>
        <v>0</v>
      </c>
      <c r="L42" s="6">
        <f t="shared" si="5"/>
        <v>0</v>
      </c>
    </row>
    <row r="43" spans="1:12">
      <c r="A43" s="3">
        <v>38</v>
      </c>
      <c r="B43" s="4">
        <f>DATE(الإعدادات!$B$6,1,1)+(A43-1)*7</f>
        <v>46282</v>
      </c>
      <c r="C43" s="5"/>
      <c r="D43" s="5"/>
      <c r="E43" s="5"/>
      <c r="F43" s="5"/>
      <c r="G43" s="5"/>
      <c r="H43" s="5"/>
      <c r="I43" s="5"/>
      <c r="J43" s="6">
        <f t="shared" si="3"/>
        <v>0</v>
      </c>
      <c r="K43" s="6">
        <f t="shared" si="4"/>
        <v>0</v>
      </c>
      <c r="L43" s="6">
        <f t="shared" si="5"/>
        <v>0</v>
      </c>
    </row>
    <row r="44" spans="1:12">
      <c r="A44" s="3">
        <v>39</v>
      </c>
      <c r="B44" s="4">
        <f>DATE(الإعدادات!$B$6,1,1)+(A44-1)*7</f>
        <v>46289</v>
      </c>
      <c r="C44" s="5"/>
      <c r="D44" s="5"/>
      <c r="E44" s="5"/>
      <c r="F44" s="5"/>
      <c r="G44" s="5"/>
      <c r="H44" s="5"/>
      <c r="I44" s="5"/>
      <c r="J44" s="6">
        <f t="shared" si="3"/>
        <v>0</v>
      </c>
      <c r="K44" s="6">
        <f t="shared" si="4"/>
        <v>0</v>
      </c>
      <c r="L44" s="6">
        <f t="shared" si="5"/>
        <v>0</v>
      </c>
    </row>
    <row r="45" spans="1:12">
      <c r="A45" s="3">
        <v>40</v>
      </c>
      <c r="B45" s="4">
        <f>DATE(الإعدادات!$B$6,1,1)+(A45-1)*7</f>
        <v>46296</v>
      </c>
      <c r="C45" s="5"/>
      <c r="D45" s="5"/>
      <c r="E45" s="5"/>
      <c r="F45" s="5"/>
      <c r="G45" s="5"/>
      <c r="H45" s="5"/>
      <c r="I45" s="5"/>
      <c r="J45" s="6">
        <f t="shared" si="3"/>
        <v>0</v>
      </c>
      <c r="K45" s="6">
        <f t="shared" si="4"/>
        <v>0</v>
      </c>
      <c r="L45" s="6">
        <f t="shared" si="5"/>
        <v>0</v>
      </c>
    </row>
    <row r="46" spans="1:12">
      <c r="A46" s="3">
        <v>41</v>
      </c>
      <c r="B46" s="4">
        <f>DATE(الإعدادات!$B$6,1,1)+(A46-1)*7</f>
        <v>46303</v>
      </c>
      <c r="C46" s="5"/>
      <c r="D46" s="5"/>
      <c r="E46" s="5"/>
      <c r="F46" s="5"/>
      <c r="G46" s="5"/>
      <c r="H46" s="5"/>
      <c r="I46" s="5"/>
      <c r="J46" s="6">
        <f t="shared" si="3"/>
        <v>0</v>
      </c>
      <c r="K46" s="6">
        <f t="shared" si="4"/>
        <v>0</v>
      </c>
      <c r="L46" s="6">
        <f t="shared" si="5"/>
        <v>0</v>
      </c>
    </row>
    <row r="47" spans="1:12">
      <c r="A47" s="3">
        <v>42</v>
      </c>
      <c r="B47" s="4">
        <f>DATE(الإعدادات!$B$6,1,1)+(A47-1)*7</f>
        <v>46310</v>
      </c>
      <c r="C47" s="5"/>
      <c r="D47" s="5"/>
      <c r="E47" s="5"/>
      <c r="F47" s="5"/>
      <c r="G47" s="5"/>
      <c r="H47" s="5"/>
      <c r="I47" s="5"/>
      <c r="J47" s="6">
        <f t="shared" si="3"/>
        <v>0</v>
      </c>
      <c r="K47" s="6">
        <f t="shared" si="4"/>
        <v>0</v>
      </c>
      <c r="L47" s="6">
        <f t="shared" si="5"/>
        <v>0</v>
      </c>
    </row>
    <row r="48" spans="1:12">
      <c r="A48" s="3">
        <v>43</v>
      </c>
      <c r="B48" s="4">
        <f>DATE(الإعدادات!$B$6,1,1)+(A48-1)*7</f>
        <v>46317</v>
      </c>
      <c r="C48" s="5"/>
      <c r="D48" s="5"/>
      <c r="E48" s="5"/>
      <c r="F48" s="5"/>
      <c r="G48" s="5"/>
      <c r="H48" s="5"/>
      <c r="I48" s="5"/>
      <c r="J48" s="6">
        <f t="shared" si="3"/>
        <v>0</v>
      </c>
      <c r="K48" s="6">
        <f t="shared" si="4"/>
        <v>0</v>
      </c>
      <c r="L48" s="6">
        <f t="shared" si="5"/>
        <v>0</v>
      </c>
    </row>
    <row r="49" spans="1:12">
      <c r="A49" s="3">
        <v>44</v>
      </c>
      <c r="B49" s="4">
        <f>DATE(الإعدادات!$B$6,1,1)+(A49-1)*7</f>
        <v>46324</v>
      </c>
      <c r="C49" s="5"/>
      <c r="D49" s="5"/>
      <c r="E49" s="5"/>
      <c r="F49" s="5"/>
      <c r="G49" s="5"/>
      <c r="H49" s="5"/>
      <c r="I49" s="5"/>
      <c r="J49" s="6">
        <f t="shared" si="3"/>
        <v>0</v>
      </c>
      <c r="K49" s="6">
        <f t="shared" si="4"/>
        <v>0</v>
      </c>
      <c r="L49" s="6">
        <f t="shared" si="5"/>
        <v>0</v>
      </c>
    </row>
    <row r="50" spans="1:12">
      <c r="A50" s="3">
        <v>45</v>
      </c>
      <c r="B50" s="4">
        <f>DATE(الإعدادات!$B$6,1,1)+(A50-1)*7</f>
        <v>46331</v>
      </c>
      <c r="C50" s="5"/>
      <c r="D50" s="5"/>
      <c r="E50" s="5"/>
      <c r="F50" s="5"/>
      <c r="G50" s="5"/>
      <c r="H50" s="5"/>
      <c r="I50" s="5"/>
      <c r="J50" s="6">
        <f t="shared" si="3"/>
        <v>0</v>
      </c>
      <c r="K50" s="6">
        <f t="shared" si="4"/>
        <v>0</v>
      </c>
      <c r="L50" s="6">
        <f t="shared" si="5"/>
        <v>0</v>
      </c>
    </row>
    <row r="51" spans="1:12">
      <c r="A51" s="3">
        <v>46</v>
      </c>
      <c r="B51" s="4">
        <f>DATE(الإعدادات!$B$6,1,1)+(A51-1)*7</f>
        <v>46338</v>
      </c>
      <c r="C51" s="5"/>
      <c r="D51" s="5"/>
      <c r="E51" s="5"/>
      <c r="F51" s="5"/>
      <c r="G51" s="5"/>
      <c r="H51" s="5"/>
      <c r="I51" s="5"/>
      <c r="J51" s="6">
        <f t="shared" si="3"/>
        <v>0</v>
      </c>
      <c r="K51" s="6">
        <f t="shared" si="4"/>
        <v>0</v>
      </c>
      <c r="L51" s="6">
        <f t="shared" si="5"/>
        <v>0</v>
      </c>
    </row>
    <row r="52" spans="1:12">
      <c r="A52" s="3">
        <v>47</v>
      </c>
      <c r="B52" s="4">
        <f>DATE(الإعدادات!$B$6,1,1)+(A52-1)*7</f>
        <v>46345</v>
      </c>
      <c r="C52" s="5"/>
      <c r="D52" s="5"/>
      <c r="E52" s="5"/>
      <c r="F52" s="5"/>
      <c r="G52" s="5"/>
      <c r="H52" s="5"/>
      <c r="I52" s="5"/>
      <c r="J52" s="6">
        <f t="shared" si="3"/>
        <v>0</v>
      </c>
      <c r="K52" s="6">
        <f t="shared" si="4"/>
        <v>0</v>
      </c>
      <c r="L52" s="6">
        <f t="shared" si="5"/>
        <v>0</v>
      </c>
    </row>
    <row r="53" spans="1:12">
      <c r="A53" s="3">
        <v>48</v>
      </c>
      <c r="B53" s="4">
        <f>DATE(الإعدادات!$B$6,1,1)+(A53-1)*7</f>
        <v>46352</v>
      </c>
      <c r="C53" s="5"/>
      <c r="D53" s="5"/>
      <c r="E53" s="5"/>
      <c r="F53" s="5"/>
      <c r="G53" s="5"/>
      <c r="H53" s="5"/>
      <c r="I53" s="5"/>
      <c r="J53" s="6">
        <f t="shared" si="3"/>
        <v>0</v>
      </c>
      <c r="K53" s="6">
        <f t="shared" si="4"/>
        <v>0</v>
      </c>
      <c r="L53" s="6">
        <f t="shared" si="5"/>
        <v>0</v>
      </c>
    </row>
    <row r="54" spans="1:12">
      <c r="A54" s="3">
        <v>49</v>
      </c>
      <c r="B54" s="4">
        <f>DATE(الإعدادات!$B$6,1,1)+(A54-1)*7</f>
        <v>46359</v>
      </c>
      <c r="C54" s="5"/>
      <c r="D54" s="5"/>
      <c r="E54" s="5"/>
      <c r="F54" s="5"/>
      <c r="G54" s="5"/>
      <c r="H54" s="5"/>
      <c r="I54" s="5"/>
      <c r="J54" s="6">
        <f t="shared" si="3"/>
        <v>0</v>
      </c>
      <c r="K54" s="6">
        <f t="shared" si="4"/>
        <v>0</v>
      </c>
      <c r="L54" s="6">
        <f t="shared" si="5"/>
        <v>0</v>
      </c>
    </row>
    <row r="55" spans="1:12">
      <c r="A55" s="3">
        <v>50</v>
      </c>
      <c r="B55" s="4">
        <f>DATE(الإعدادات!$B$6,1,1)+(A55-1)*7</f>
        <v>46366</v>
      </c>
      <c r="C55" s="5"/>
      <c r="D55" s="5"/>
      <c r="E55" s="5"/>
      <c r="F55" s="5"/>
      <c r="G55" s="5"/>
      <c r="H55" s="5"/>
      <c r="I55" s="5"/>
      <c r="J55" s="6">
        <f t="shared" si="3"/>
        <v>0</v>
      </c>
      <c r="K55" s="6">
        <f t="shared" si="4"/>
        <v>0</v>
      </c>
      <c r="L55" s="6">
        <f t="shared" si="5"/>
        <v>0</v>
      </c>
    </row>
    <row r="56" spans="1:12">
      <c r="A56" s="3">
        <v>51</v>
      </c>
      <c r="B56" s="4">
        <f>DATE(الإعدادات!$B$6,1,1)+(A56-1)*7</f>
        <v>46373</v>
      </c>
      <c r="C56" s="5"/>
      <c r="D56" s="5"/>
      <c r="E56" s="5"/>
      <c r="F56" s="5"/>
      <c r="G56" s="5"/>
      <c r="H56" s="5"/>
      <c r="I56" s="5"/>
      <c r="J56" s="6">
        <f t="shared" si="3"/>
        <v>0</v>
      </c>
      <c r="K56" s="6">
        <f t="shared" si="4"/>
        <v>0</v>
      </c>
      <c r="L56" s="6">
        <f t="shared" si="5"/>
        <v>0</v>
      </c>
    </row>
    <row r="57" spans="1:12">
      <c r="A57" s="3">
        <v>52</v>
      </c>
      <c r="B57" s="4">
        <f>DATE(الإعدادات!$B$6,1,1)+(A57-1)*7</f>
        <v>46380</v>
      </c>
      <c r="C57" s="5"/>
      <c r="D57" s="5"/>
      <c r="E57" s="5"/>
      <c r="F57" s="5"/>
      <c r="G57" s="5"/>
      <c r="H57" s="5"/>
      <c r="I57" s="5"/>
      <c r="J57" s="6">
        <f t="shared" si="3"/>
        <v>0</v>
      </c>
      <c r="K57" s="6">
        <f t="shared" si="4"/>
        <v>0</v>
      </c>
      <c r="L57" s="6">
        <f t="shared" si="5"/>
        <v>0</v>
      </c>
    </row>
  </sheetData>
  <mergeCells count="2">
    <mergeCell ref="A1:L1"/>
    <mergeCell ref="A3:L3"/>
  </mergeCells>
  <conditionalFormatting sqref="L6:L57">
    <cfRule type="cellIs" dxfId="7" priority="1" operator="greaterThanOrEqual">
      <formula>0</formula>
    </cfRule>
    <cfRule type="cellIs" dxfId="6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showGridLines="0" workbookViewId="0">
      <selection activeCell="B6" sqref="B6"/>
    </sheetView>
  </sheetViews>
  <sheetFormatPr defaultRowHeight="14.25"/>
  <cols>
    <col min="1" max="1" width="14" customWidth="1"/>
    <col min="2" max="4" width="16" customWidth="1"/>
    <col min="5" max="7" width="18" customWidth="1"/>
    <col min="8" max="9" width="14" customWidth="1"/>
  </cols>
  <sheetData>
    <row r="1" spans="1:9" ht="32.1" customHeight="1">
      <c r="A1" s="13" t="s">
        <v>38</v>
      </c>
      <c r="B1" s="13" t="s">
        <v>38</v>
      </c>
      <c r="C1" s="13" t="s">
        <v>38</v>
      </c>
      <c r="D1" s="13" t="s">
        <v>38</v>
      </c>
      <c r="E1" s="13" t="s">
        <v>38</v>
      </c>
      <c r="F1" s="13" t="s">
        <v>38</v>
      </c>
      <c r="G1" s="13" t="s">
        <v>38</v>
      </c>
      <c r="H1" s="13" t="s">
        <v>38</v>
      </c>
      <c r="I1" s="13" t="s">
        <v>38</v>
      </c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 ht="20.100000000000001" customHeight="1">
      <c r="A3" s="14" t="s">
        <v>39</v>
      </c>
      <c r="B3" s="14" t="s">
        <v>39</v>
      </c>
      <c r="C3" s="14" t="s">
        <v>39</v>
      </c>
      <c r="D3" s="14" t="s">
        <v>39</v>
      </c>
      <c r="E3" s="14" t="s">
        <v>39</v>
      </c>
      <c r="F3" s="14" t="s">
        <v>39</v>
      </c>
      <c r="G3" s="14" t="s">
        <v>39</v>
      </c>
      <c r="H3" s="14" t="s">
        <v>39</v>
      </c>
      <c r="I3" s="14" t="s">
        <v>39</v>
      </c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 ht="30" customHeight="1">
      <c r="A5" s="1" t="s">
        <v>13</v>
      </c>
      <c r="B5" s="1" t="s">
        <v>14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5</v>
      </c>
      <c r="H5" s="1" t="s">
        <v>6</v>
      </c>
      <c r="I5" s="1" t="s">
        <v>44</v>
      </c>
    </row>
    <row r="6" spans="1:9">
      <c r="A6" s="3" t="str">
        <f>الإعدادات!J6</f>
        <v>يناير</v>
      </c>
      <c r="B6" s="6">
        <f>SUMIFS(الميزانية!$E$6:$E$185,الميزانية!$A$6:$A$185,A6,الميزانية!$C$6:$C$185,"دخل")</f>
        <v>5000</v>
      </c>
      <c r="C6" s="5">
        <v>500</v>
      </c>
      <c r="D6" s="5">
        <v>5000</v>
      </c>
      <c r="E6" s="6">
        <f>C6</f>
        <v>500</v>
      </c>
      <c r="F6" s="6">
        <f>D6</f>
        <v>5000</v>
      </c>
      <c r="G6" s="6">
        <f t="shared" ref="G6:G17" si="0">E6+F6</f>
        <v>5500</v>
      </c>
      <c r="H6" s="7">
        <f>IFERROR(C6/B6,0)</f>
        <v>0.1</v>
      </c>
      <c r="I6" s="7">
        <f t="shared" ref="I6:I17" si="1">IFERROR(G6/SUM($C$6:$C$17),0)</f>
        <v>11</v>
      </c>
    </row>
    <row r="7" spans="1:9">
      <c r="A7" s="3" t="str">
        <f>الإعدادات!J7</f>
        <v>فبراير</v>
      </c>
      <c r="B7" s="6">
        <f>SUMIFS(الميزانية!$E$6:$E$185,الميزانية!$A$6:$A$185,A7,الميزانية!$C$6:$C$185,"دخل")</f>
        <v>0</v>
      </c>
      <c r="C7" s="5"/>
      <c r="D7" s="5"/>
      <c r="E7" s="6">
        <f t="shared" ref="E7:E17" si="2">E6+C7</f>
        <v>500</v>
      </c>
      <c r="F7" s="6">
        <f t="shared" ref="F7:F17" si="3">F6+D7</f>
        <v>5000</v>
      </c>
      <c r="G7" s="6">
        <f t="shared" si="0"/>
        <v>5500</v>
      </c>
      <c r="H7" s="7">
        <f t="shared" ref="H6:H17" si="4">IFERROR(C7/B7,0)</f>
        <v>0</v>
      </c>
      <c r="I7" s="7">
        <f t="shared" si="1"/>
        <v>11</v>
      </c>
    </row>
    <row r="8" spans="1:9">
      <c r="A8" s="3" t="str">
        <f>الإعدادات!J8</f>
        <v>مارس</v>
      </c>
      <c r="B8" s="6">
        <f>SUMIFS(الميزانية!$E$6:$E$185,الميزانية!$A$6:$A$185,A8,الميزانية!$C$6:$C$185,"دخل")</f>
        <v>0</v>
      </c>
      <c r="C8" s="5"/>
      <c r="D8" s="5"/>
      <c r="E8" s="6">
        <f t="shared" si="2"/>
        <v>500</v>
      </c>
      <c r="F8" s="6">
        <f t="shared" si="3"/>
        <v>5000</v>
      </c>
      <c r="G8" s="6">
        <f t="shared" si="0"/>
        <v>5500</v>
      </c>
      <c r="H8" s="7">
        <f t="shared" si="4"/>
        <v>0</v>
      </c>
      <c r="I8" s="7">
        <f t="shared" si="1"/>
        <v>11</v>
      </c>
    </row>
    <row r="9" spans="1:9">
      <c r="A9" s="3" t="str">
        <f>الإعدادات!J9</f>
        <v>أبريل</v>
      </c>
      <c r="B9" s="6">
        <f>SUMIFS(الميزانية!$E$6:$E$185,الميزانية!$A$6:$A$185,A9,الميزانية!$C$6:$C$185,"دخل")</f>
        <v>0</v>
      </c>
      <c r="C9" s="5"/>
      <c r="D9" s="5"/>
      <c r="E9" s="6">
        <f t="shared" si="2"/>
        <v>500</v>
      </c>
      <c r="F9" s="6">
        <f t="shared" si="3"/>
        <v>5000</v>
      </c>
      <c r="G9" s="6">
        <f t="shared" si="0"/>
        <v>5500</v>
      </c>
      <c r="H9" s="7">
        <f t="shared" si="4"/>
        <v>0</v>
      </c>
      <c r="I9" s="7">
        <f t="shared" si="1"/>
        <v>11</v>
      </c>
    </row>
    <row r="10" spans="1:9">
      <c r="A10" s="3" t="str">
        <f>الإعدادات!J10</f>
        <v>مايو</v>
      </c>
      <c r="B10" s="6">
        <f>SUMIFS(الميزانية!$E$6:$E$185,الميزانية!$A$6:$A$185,A10,الميزانية!$C$6:$C$185,"دخل")</f>
        <v>0</v>
      </c>
      <c r="C10" s="5"/>
      <c r="D10" s="5"/>
      <c r="E10" s="6">
        <f t="shared" si="2"/>
        <v>500</v>
      </c>
      <c r="F10" s="6">
        <f t="shared" si="3"/>
        <v>5000</v>
      </c>
      <c r="G10" s="6">
        <f t="shared" si="0"/>
        <v>5500</v>
      </c>
      <c r="H10" s="7">
        <f t="shared" si="4"/>
        <v>0</v>
      </c>
      <c r="I10" s="7">
        <f t="shared" si="1"/>
        <v>11</v>
      </c>
    </row>
    <row r="11" spans="1:9">
      <c r="A11" s="3" t="str">
        <f>الإعدادات!J11</f>
        <v>يونيو</v>
      </c>
      <c r="B11" s="6">
        <f>SUMIFS(الميزانية!$E$6:$E$185,الميزانية!$A$6:$A$185,A11,الميزانية!$C$6:$C$185,"دخل")</f>
        <v>0</v>
      </c>
      <c r="C11" s="5"/>
      <c r="D11" s="5"/>
      <c r="E11" s="6">
        <f t="shared" si="2"/>
        <v>500</v>
      </c>
      <c r="F11" s="6">
        <f t="shared" si="3"/>
        <v>5000</v>
      </c>
      <c r="G11" s="6">
        <f t="shared" si="0"/>
        <v>5500</v>
      </c>
      <c r="H11" s="7">
        <f t="shared" si="4"/>
        <v>0</v>
      </c>
      <c r="I11" s="7">
        <f t="shared" si="1"/>
        <v>11</v>
      </c>
    </row>
    <row r="12" spans="1:9">
      <c r="A12" s="3" t="str">
        <f>الإعدادات!J12</f>
        <v>يوليو</v>
      </c>
      <c r="B12" s="6">
        <f>SUMIFS(الميزانية!$E$6:$E$185,الميزانية!$A$6:$A$185,A12,الميزانية!$C$6:$C$185,"دخل")</f>
        <v>0</v>
      </c>
      <c r="C12" s="5"/>
      <c r="D12" s="5"/>
      <c r="E12" s="6">
        <f t="shared" si="2"/>
        <v>500</v>
      </c>
      <c r="F12" s="6">
        <f t="shared" si="3"/>
        <v>5000</v>
      </c>
      <c r="G12" s="6">
        <f t="shared" si="0"/>
        <v>5500</v>
      </c>
      <c r="H12" s="7">
        <f t="shared" si="4"/>
        <v>0</v>
      </c>
      <c r="I12" s="7">
        <f t="shared" si="1"/>
        <v>11</v>
      </c>
    </row>
    <row r="13" spans="1:9">
      <c r="A13" s="3" t="str">
        <f>الإعدادات!J13</f>
        <v>أغسطس</v>
      </c>
      <c r="B13" s="6">
        <f>SUMIFS(الميزانية!$E$6:$E$185,الميزانية!$A$6:$A$185,A13,الميزانية!$C$6:$C$185,"دخل")</f>
        <v>0</v>
      </c>
      <c r="C13" s="5"/>
      <c r="D13" s="5"/>
      <c r="E13" s="6">
        <f t="shared" si="2"/>
        <v>500</v>
      </c>
      <c r="F13" s="6">
        <f t="shared" si="3"/>
        <v>5000</v>
      </c>
      <c r="G13" s="6">
        <f t="shared" si="0"/>
        <v>5500</v>
      </c>
      <c r="H13" s="7">
        <f t="shared" si="4"/>
        <v>0</v>
      </c>
      <c r="I13" s="7">
        <f t="shared" si="1"/>
        <v>11</v>
      </c>
    </row>
    <row r="14" spans="1:9">
      <c r="A14" s="3" t="str">
        <f>الإعدادات!J14</f>
        <v>سبتمبر</v>
      </c>
      <c r="B14" s="6">
        <f>SUMIFS(الميزانية!$E$6:$E$185,الميزانية!$A$6:$A$185,A14,الميزانية!$C$6:$C$185,"دخل")</f>
        <v>0</v>
      </c>
      <c r="C14" s="5"/>
      <c r="D14" s="5"/>
      <c r="E14" s="6">
        <f t="shared" si="2"/>
        <v>500</v>
      </c>
      <c r="F14" s="6">
        <f t="shared" si="3"/>
        <v>5000</v>
      </c>
      <c r="G14" s="6">
        <f t="shared" si="0"/>
        <v>5500</v>
      </c>
      <c r="H14" s="7">
        <f t="shared" si="4"/>
        <v>0</v>
      </c>
      <c r="I14" s="7">
        <f t="shared" si="1"/>
        <v>11</v>
      </c>
    </row>
    <row r="15" spans="1:9">
      <c r="A15" s="3" t="str">
        <f>الإعدادات!J15</f>
        <v>أكتوبر</v>
      </c>
      <c r="B15" s="6">
        <f>SUMIFS(الميزانية!$E$6:$E$185,الميزانية!$A$6:$A$185,A15,الميزانية!$C$6:$C$185,"دخل")</f>
        <v>0</v>
      </c>
      <c r="C15" s="5"/>
      <c r="D15" s="5"/>
      <c r="E15" s="6">
        <f t="shared" si="2"/>
        <v>500</v>
      </c>
      <c r="F15" s="6">
        <f t="shared" si="3"/>
        <v>5000</v>
      </c>
      <c r="G15" s="6">
        <f t="shared" si="0"/>
        <v>5500</v>
      </c>
      <c r="H15" s="7">
        <f t="shared" si="4"/>
        <v>0</v>
      </c>
      <c r="I15" s="7">
        <f t="shared" si="1"/>
        <v>11</v>
      </c>
    </row>
    <row r="16" spans="1:9">
      <c r="A16" s="3" t="str">
        <f>الإعدادات!J16</f>
        <v>نوفمبر</v>
      </c>
      <c r="B16" s="6">
        <f>SUMIFS(الميزانية!$E$6:$E$185,الميزانية!$A$6:$A$185,A16,الميزانية!$C$6:$C$185,"دخل")</f>
        <v>0</v>
      </c>
      <c r="C16" s="5"/>
      <c r="D16" s="5"/>
      <c r="E16" s="6">
        <f t="shared" si="2"/>
        <v>500</v>
      </c>
      <c r="F16" s="6">
        <f t="shared" si="3"/>
        <v>5000</v>
      </c>
      <c r="G16" s="6">
        <f t="shared" si="0"/>
        <v>5500</v>
      </c>
      <c r="H16" s="7">
        <f t="shared" si="4"/>
        <v>0</v>
      </c>
      <c r="I16" s="7">
        <f t="shared" si="1"/>
        <v>11</v>
      </c>
    </row>
    <row r="17" spans="1:9">
      <c r="A17" s="3" t="str">
        <f>الإعدادات!J17</f>
        <v>ديسمبر</v>
      </c>
      <c r="B17" s="6">
        <f>SUMIFS(الميزانية!$E$6:$E$185,الميزانية!$A$6:$A$185,A17,الميزانية!$C$6:$C$185,"دخل")</f>
        <v>0</v>
      </c>
      <c r="C17" s="5"/>
      <c r="D17" s="5"/>
      <c r="E17" s="6">
        <f t="shared" si="2"/>
        <v>500</v>
      </c>
      <c r="F17" s="6">
        <f t="shared" si="3"/>
        <v>5000</v>
      </c>
      <c r="G17" s="6">
        <f t="shared" si="0"/>
        <v>5500</v>
      </c>
      <c r="H17" s="7">
        <f t="shared" si="4"/>
        <v>0</v>
      </c>
      <c r="I17" s="7">
        <f t="shared" si="1"/>
        <v>11</v>
      </c>
    </row>
  </sheetData>
  <mergeCells count="2">
    <mergeCell ref="A1:I1"/>
    <mergeCell ref="A3:I3"/>
  </mergeCells>
  <conditionalFormatting sqref="I6:I17">
    <cfRule type="colorScale" priority="1">
      <colorScale>
        <cfvo type="min"/>
        <cfvo type="percentile" val="50"/>
        <cfvo type="max"/>
        <color rgb="FFFCE2E2"/>
        <color rgb="FFFFF3CD"/>
        <color rgb="FFDDEEE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showGridLines="0" workbookViewId="0">
      <selection activeCell="C6" sqref="C6"/>
    </sheetView>
  </sheetViews>
  <sheetFormatPr defaultRowHeight="14.25"/>
  <cols>
    <col min="1" max="1" width="11" customWidth="1"/>
    <col min="2" max="2" width="18" customWidth="1"/>
    <col min="3" max="3" width="32" customWidth="1"/>
    <col min="4" max="4" width="24" customWidth="1"/>
    <col min="5" max="5" width="30" customWidth="1"/>
    <col min="6" max="6" width="14" customWidth="1"/>
    <col min="7" max="8" width="16" customWidth="1"/>
    <col min="9" max="10" width="17" customWidth="1"/>
    <col min="11" max="11" width="14" customWidth="1"/>
    <col min="12" max="12" width="25" customWidth="1"/>
  </cols>
  <sheetData>
    <row r="1" spans="1:12" ht="32.1" customHeight="1">
      <c r="A1" s="13" t="s">
        <v>45</v>
      </c>
      <c r="B1" s="13" t="s">
        <v>45</v>
      </c>
      <c r="C1" s="13" t="s">
        <v>45</v>
      </c>
      <c r="D1" s="13" t="s">
        <v>45</v>
      </c>
      <c r="E1" s="13" t="s">
        <v>45</v>
      </c>
      <c r="F1" s="13" t="s">
        <v>45</v>
      </c>
      <c r="G1" s="13" t="s">
        <v>45</v>
      </c>
      <c r="H1" s="13" t="s">
        <v>45</v>
      </c>
      <c r="I1" s="13" t="s">
        <v>45</v>
      </c>
      <c r="J1" s="13" t="s">
        <v>45</v>
      </c>
      <c r="K1" s="13" t="s">
        <v>45</v>
      </c>
      <c r="L1" s="13" t="s">
        <v>45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0.100000000000001" customHeight="1">
      <c r="A3" s="14" t="s">
        <v>46</v>
      </c>
      <c r="B3" s="14" t="s">
        <v>46</v>
      </c>
      <c r="C3" s="14" t="s">
        <v>46</v>
      </c>
      <c r="D3" s="14" t="s">
        <v>46</v>
      </c>
      <c r="E3" s="14" t="s">
        <v>46</v>
      </c>
      <c r="F3" s="14" t="s">
        <v>46</v>
      </c>
      <c r="G3" s="14" t="s">
        <v>46</v>
      </c>
      <c r="H3" s="14" t="s">
        <v>46</v>
      </c>
      <c r="I3" s="14" t="s">
        <v>46</v>
      </c>
      <c r="J3" s="14" t="s">
        <v>46</v>
      </c>
      <c r="K3" s="14" t="s">
        <v>46</v>
      </c>
      <c r="L3" s="14" t="s">
        <v>46</v>
      </c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0" customHeight="1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16</v>
      </c>
      <c r="I5" s="1" t="s">
        <v>54</v>
      </c>
      <c r="J5" s="1" t="s">
        <v>55</v>
      </c>
      <c r="K5" s="1" t="s">
        <v>44</v>
      </c>
      <c r="L5" s="1" t="s">
        <v>56</v>
      </c>
    </row>
    <row r="6" spans="1:12">
      <c r="A6" s="3">
        <f t="shared" ref="A6:A35" si="0">ROW()-5</f>
        <v>1</v>
      </c>
      <c r="B6" s="8"/>
      <c r="C6" s="8"/>
      <c r="D6" s="8"/>
      <c r="E6" s="8"/>
      <c r="F6" s="9"/>
      <c r="G6" s="9"/>
      <c r="H6" s="8"/>
      <c r="I6" s="5"/>
      <c r="J6" s="5"/>
      <c r="K6" s="7">
        <f t="shared" ref="K6:K35" si="1">IFERROR(MIN(MAX(J6/I6,0),1),0)</f>
        <v>0</v>
      </c>
      <c r="L6" s="8"/>
    </row>
    <row r="7" spans="1:12">
      <c r="A7" s="3">
        <f t="shared" si="0"/>
        <v>2</v>
      </c>
      <c r="B7" s="8"/>
      <c r="C7" s="8"/>
      <c r="D7" s="8"/>
      <c r="E7" s="8"/>
      <c r="F7" s="9"/>
      <c r="G7" s="9"/>
      <c r="H7" s="8"/>
      <c r="I7" s="5"/>
      <c r="J7" s="5"/>
      <c r="K7" s="7">
        <f t="shared" si="1"/>
        <v>0</v>
      </c>
      <c r="L7" s="8"/>
    </row>
    <row r="8" spans="1:12">
      <c r="A8" s="3">
        <f t="shared" si="0"/>
        <v>3</v>
      </c>
      <c r="B8" s="8"/>
      <c r="C8" s="8"/>
      <c r="D8" s="8"/>
      <c r="E8" s="8"/>
      <c r="F8" s="9"/>
      <c r="G8" s="9"/>
      <c r="H8" s="8"/>
      <c r="I8" s="5"/>
      <c r="J8" s="5"/>
      <c r="K8" s="7">
        <f t="shared" si="1"/>
        <v>0</v>
      </c>
      <c r="L8" s="8"/>
    </row>
    <row r="9" spans="1:12">
      <c r="A9" s="3">
        <f t="shared" si="0"/>
        <v>4</v>
      </c>
      <c r="B9" s="8"/>
      <c r="C9" s="8"/>
      <c r="D9" s="8"/>
      <c r="E9" s="8"/>
      <c r="F9" s="9"/>
      <c r="G9" s="9"/>
      <c r="H9" s="8"/>
      <c r="I9" s="5"/>
      <c r="J9" s="5"/>
      <c r="K9" s="7">
        <f t="shared" si="1"/>
        <v>0</v>
      </c>
      <c r="L9" s="8"/>
    </row>
    <row r="10" spans="1:12">
      <c r="A10" s="3">
        <f t="shared" si="0"/>
        <v>5</v>
      </c>
      <c r="B10" s="8"/>
      <c r="C10" s="8"/>
      <c r="D10" s="8"/>
      <c r="E10" s="8"/>
      <c r="F10" s="9"/>
      <c r="G10" s="9"/>
      <c r="H10" s="8"/>
      <c r="I10" s="5"/>
      <c r="J10" s="5"/>
      <c r="K10" s="7">
        <f t="shared" si="1"/>
        <v>0</v>
      </c>
      <c r="L10" s="8"/>
    </row>
    <row r="11" spans="1:12">
      <c r="A11" s="3">
        <f t="shared" si="0"/>
        <v>6</v>
      </c>
      <c r="B11" s="8"/>
      <c r="C11" s="8"/>
      <c r="D11" s="8"/>
      <c r="E11" s="8"/>
      <c r="F11" s="9"/>
      <c r="G11" s="9"/>
      <c r="H11" s="8"/>
      <c r="I11" s="5"/>
      <c r="J11" s="5"/>
      <c r="K11" s="7">
        <f t="shared" si="1"/>
        <v>0</v>
      </c>
      <c r="L11" s="8"/>
    </row>
    <row r="12" spans="1:12">
      <c r="A12" s="3">
        <f t="shared" si="0"/>
        <v>7</v>
      </c>
      <c r="B12" s="8"/>
      <c r="C12" s="8"/>
      <c r="D12" s="8"/>
      <c r="E12" s="8"/>
      <c r="F12" s="9"/>
      <c r="G12" s="9"/>
      <c r="H12" s="8"/>
      <c r="I12" s="5"/>
      <c r="J12" s="5"/>
      <c r="K12" s="7">
        <f t="shared" si="1"/>
        <v>0</v>
      </c>
      <c r="L12" s="8"/>
    </row>
    <row r="13" spans="1:12">
      <c r="A13" s="3">
        <f t="shared" si="0"/>
        <v>8</v>
      </c>
      <c r="B13" s="8"/>
      <c r="C13" s="8"/>
      <c r="D13" s="8"/>
      <c r="E13" s="8"/>
      <c r="F13" s="9"/>
      <c r="G13" s="9"/>
      <c r="H13" s="8"/>
      <c r="I13" s="5"/>
      <c r="J13" s="5"/>
      <c r="K13" s="7">
        <f t="shared" si="1"/>
        <v>0</v>
      </c>
      <c r="L13" s="8"/>
    </row>
    <row r="14" spans="1:12">
      <c r="A14" s="3">
        <f t="shared" si="0"/>
        <v>9</v>
      </c>
      <c r="B14" s="8"/>
      <c r="C14" s="8"/>
      <c r="D14" s="8"/>
      <c r="E14" s="8"/>
      <c r="F14" s="9"/>
      <c r="G14" s="9"/>
      <c r="H14" s="8"/>
      <c r="I14" s="5"/>
      <c r="J14" s="5"/>
      <c r="K14" s="7">
        <f t="shared" si="1"/>
        <v>0</v>
      </c>
      <c r="L14" s="8"/>
    </row>
    <row r="15" spans="1:12">
      <c r="A15" s="3">
        <f t="shared" si="0"/>
        <v>10</v>
      </c>
      <c r="B15" s="8"/>
      <c r="C15" s="8"/>
      <c r="D15" s="8"/>
      <c r="E15" s="8"/>
      <c r="F15" s="9"/>
      <c r="G15" s="9"/>
      <c r="H15" s="8"/>
      <c r="I15" s="5"/>
      <c r="J15" s="5"/>
      <c r="K15" s="7">
        <f t="shared" si="1"/>
        <v>0</v>
      </c>
      <c r="L15" s="8"/>
    </row>
    <row r="16" spans="1:12">
      <c r="A16" s="3">
        <f t="shared" si="0"/>
        <v>11</v>
      </c>
      <c r="B16" s="8"/>
      <c r="C16" s="8"/>
      <c r="D16" s="8"/>
      <c r="E16" s="8"/>
      <c r="F16" s="9"/>
      <c r="G16" s="9"/>
      <c r="H16" s="8"/>
      <c r="I16" s="5"/>
      <c r="J16" s="5"/>
      <c r="K16" s="7">
        <f t="shared" si="1"/>
        <v>0</v>
      </c>
      <c r="L16" s="8"/>
    </row>
    <row r="17" spans="1:12">
      <c r="A17" s="3">
        <f t="shared" si="0"/>
        <v>12</v>
      </c>
      <c r="B17" s="8"/>
      <c r="C17" s="8"/>
      <c r="D17" s="8"/>
      <c r="E17" s="8"/>
      <c r="F17" s="9"/>
      <c r="G17" s="9"/>
      <c r="H17" s="8"/>
      <c r="I17" s="5"/>
      <c r="J17" s="5"/>
      <c r="K17" s="7">
        <f t="shared" si="1"/>
        <v>0</v>
      </c>
      <c r="L17" s="8"/>
    </row>
    <row r="18" spans="1:12">
      <c r="A18" s="3">
        <f t="shared" si="0"/>
        <v>13</v>
      </c>
      <c r="B18" s="8"/>
      <c r="C18" s="8"/>
      <c r="D18" s="8"/>
      <c r="E18" s="8"/>
      <c r="F18" s="9"/>
      <c r="G18" s="9"/>
      <c r="H18" s="8"/>
      <c r="I18" s="5"/>
      <c r="J18" s="5"/>
      <c r="K18" s="7">
        <f t="shared" si="1"/>
        <v>0</v>
      </c>
      <c r="L18" s="8"/>
    </row>
    <row r="19" spans="1:12">
      <c r="A19" s="3">
        <f t="shared" si="0"/>
        <v>14</v>
      </c>
      <c r="B19" s="8"/>
      <c r="C19" s="8"/>
      <c r="D19" s="8"/>
      <c r="E19" s="8"/>
      <c r="F19" s="9"/>
      <c r="G19" s="9"/>
      <c r="H19" s="8"/>
      <c r="I19" s="5"/>
      <c r="J19" s="5"/>
      <c r="K19" s="7">
        <f t="shared" si="1"/>
        <v>0</v>
      </c>
      <c r="L19" s="8"/>
    </row>
    <row r="20" spans="1:12">
      <c r="A20" s="3">
        <f t="shared" si="0"/>
        <v>15</v>
      </c>
      <c r="B20" s="8"/>
      <c r="C20" s="8"/>
      <c r="D20" s="8"/>
      <c r="E20" s="8"/>
      <c r="F20" s="9"/>
      <c r="G20" s="9"/>
      <c r="H20" s="8"/>
      <c r="I20" s="5"/>
      <c r="J20" s="5"/>
      <c r="K20" s="7">
        <f t="shared" si="1"/>
        <v>0</v>
      </c>
      <c r="L20" s="8"/>
    </row>
    <row r="21" spans="1:12">
      <c r="A21" s="3">
        <f t="shared" si="0"/>
        <v>16</v>
      </c>
      <c r="B21" s="8"/>
      <c r="C21" s="8"/>
      <c r="D21" s="8"/>
      <c r="E21" s="8"/>
      <c r="F21" s="9"/>
      <c r="G21" s="9"/>
      <c r="H21" s="8"/>
      <c r="I21" s="5"/>
      <c r="J21" s="5"/>
      <c r="K21" s="7">
        <f t="shared" si="1"/>
        <v>0</v>
      </c>
      <c r="L21" s="8"/>
    </row>
    <row r="22" spans="1:12">
      <c r="A22" s="3">
        <f t="shared" si="0"/>
        <v>17</v>
      </c>
      <c r="B22" s="8"/>
      <c r="C22" s="8"/>
      <c r="D22" s="8"/>
      <c r="E22" s="8"/>
      <c r="F22" s="9"/>
      <c r="G22" s="9"/>
      <c r="H22" s="8"/>
      <c r="I22" s="5"/>
      <c r="J22" s="5"/>
      <c r="K22" s="7">
        <f t="shared" si="1"/>
        <v>0</v>
      </c>
      <c r="L22" s="8"/>
    </row>
    <row r="23" spans="1:12">
      <c r="A23" s="3">
        <f t="shared" si="0"/>
        <v>18</v>
      </c>
      <c r="B23" s="8"/>
      <c r="C23" s="8"/>
      <c r="D23" s="8"/>
      <c r="E23" s="8"/>
      <c r="F23" s="9"/>
      <c r="G23" s="9"/>
      <c r="H23" s="8"/>
      <c r="I23" s="5"/>
      <c r="J23" s="5"/>
      <c r="K23" s="7">
        <f t="shared" si="1"/>
        <v>0</v>
      </c>
      <c r="L23" s="8"/>
    </row>
    <row r="24" spans="1:12">
      <c r="A24" s="3">
        <f t="shared" si="0"/>
        <v>19</v>
      </c>
      <c r="B24" s="8"/>
      <c r="C24" s="8"/>
      <c r="D24" s="8"/>
      <c r="E24" s="8"/>
      <c r="F24" s="9"/>
      <c r="G24" s="9"/>
      <c r="H24" s="8"/>
      <c r="I24" s="5"/>
      <c r="J24" s="5"/>
      <c r="K24" s="7">
        <f t="shared" si="1"/>
        <v>0</v>
      </c>
      <c r="L24" s="8"/>
    </row>
    <row r="25" spans="1:12">
      <c r="A25" s="3">
        <f t="shared" si="0"/>
        <v>20</v>
      </c>
      <c r="B25" s="8"/>
      <c r="C25" s="8"/>
      <c r="D25" s="8"/>
      <c r="E25" s="8"/>
      <c r="F25" s="9"/>
      <c r="G25" s="9"/>
      <c r="H25" s="8"/>
      <c r="I25" s="5"/>
      <c r="J25" s="5"/>
      <c r="K25" s="7">
        <f t="shared" si="1"/>
        <v>0</v>
      </c>
      <c r="L25" s="8"/>
    </row>
    <row r="26" spans="1:12">
      <c r="A26" s="3">
        <f t="shared" si="0"/>
        <v>21</v>
      </c>
      <c r="B26" s="8"/>
      <c r="C26" s="8"/>
      <c r="D26" s="8"/>
      <c r="E26" s="8"/>
      <c r="F26" s="9"/>
      <c r="G26" s="9"/>
      <c r="H26" s="8"/>
      <c r="I26" s="5"/>
      <c r="J26" s="5"/>
      <c r="K26" s="7">
        <f t="shared" si="1"/>
        <v>0</v>
      </c>
      <c r="L26" s="8"/>
    </row>
    <row r="27" spans="1:12">
      <c r="A27" s="3">
        <f t="shared" si="0"/>
        <v>22</v>
      </c>
      <c r="B27" s="8"/>
      <c r="C27" s="8"/>
      <c r="D27" s="8"/>
      <c r="E27" s="8"/>
      <c r="F27" s="9"/>
      <c r="G27" s="9"/>
      <c r="H27" s="8"/>
      <c r="I27" s="5"/>
      <c r="J27" s="5"/>
      <c r="K27" s="7">
        <f t="shared" si="1"/>
        <v>0</v>
      </c>
      <c r="L27" s="8"/>
    </row>
    <row r="28" spans="1:12">
      <c r="A28" s="3">
        <f t="shared" si="0"/>
        <v>23</v>
      </c>
      <c r="B28" s="8"/>
      <c r="C28" s="8"/>
      <c r="D28" s="8"/>
      <c r="E28" s="8"/>
      <c r="F28" s="9"/>
      <c r="G28" s="9"/>
      <c r="H28" s="8"/>
      <c r="I28" s="5"/>
      <c r="J28" s="5"/>
      <c r="K28" s="7">
        <f t="shared" si="1"/>
        <v>0</v>
      </c>
      <c r="L28" s="8"/>
    </row>
    <row r="29" spans="1:12">
      <c r="A29" s="3">
        <f t="shared" si="0"/>
        <v>24</v>
      </c>
      <c r="B29" s="8"/>
      <c r="C29" s="8"/>
      <c r="D29" s="8"/>
      <c r="E29" s="8"/>
      <c r="F29" s="9"/>
      <c r="G29" s="9"/>
      <c r="H29" s="8"/>
      <c r="I29" s="5"/>
      <c r="J29" s="5"/>
      <c r="K29" s="7">
        <f t="shared" si="1"/>
        <v>0</v>
      </c>
      <c r="L29" s="8"/>
    </row>
    <row r="30" spans="1:12">
      <c r="A30" s="3">
        <f t="shared" si="0"/>
        <v>25</v>
      </c>
      <c r="B30" s="8"/>
      <c r="C30" s="8"/>
      <c r="D30" s="8"/>
      <c r="E30" s="8"/>
      <c r="F30" s="9"/>
      <c r="G30" s="9"/>
      <c r="H30" s="8"/>
      <c r="I30" s="5"/>
      <c r="J30" s="5"/>
      <c r="K30" s="7">
        <f t="shared" si="1"/>
        <v>0</v>
      </c>
      <c r="L30" s="8"/>
    </row>
    <row r="31" spans="1:12">
      <c r="A31" s="3">
        <f t="shared" si="0"/>
        <v>26</v>
      </c>
      <c r="B31" s="8"/>
      <c r="C31" s="8"/>
      <c r="D31" s="8"/>
      <c r="E31" s="8"/>
      <c r="F31" s="9"/>
      <c r="G31" s="9"/>
      <c r="H31" s="8"/>
      <c r="I31" s="5"/>
      <c r="J31" s="5"/>
      <c r="K31" s="7">
        <f t="shared" si="1"/>
        <v>0</v>
      </c>
      <c r="L31" s="8"/>
    </row>
    <row r="32" spans="1:12">
      <c r="A32" s="3">
        <f t="shared" si="0"/>
        <v>27</v>
      </c>
      <c r="B32" s="8"/>
      <c r="C32" s="8"/>
      <c r="D32" s="8"/>
      <c r="E32" s="8"/>
      <c r="F32" s="9"/>
      <c r="G32" s="9"/>
      <c r="H32" s="8"/>
      <c r="I32" s="5"/>
      <c r="J32" s="5"/>
      <c r="K32" s="7">
        <f t="shared" si="1"/>
        <v>0</v>
      </c>
      <c r="L32" s="8"/>
    </row>
    <row r="33" spans="1:12">
      <c r="A33" s="3">
        <f t="shared" si="0"/>
        <v>28</v>
      </c>
      <c r="B33" s="8"/>
      <c r="C33" s="8"/>
      <c r="D33" s="8"/>
      <c r="E33" s="8"/>
      <c r="F33" s="9"/>
      <c r="G33" s="9"/>
      <c r="H33" s="8"/>
      <c r="I33" s="5"/>
      <c r="J33" s="5"/>
      <c r="K33" s="7">
        <f t="shared" si="1"/>
        <v>0</v>
      </c>
      <c r="L33" s="8"/>
    </row>
    <row r="34" spans="1:12">
      <c r="A34" s="3">
        <f t="shared" si="0"/>
        <v>29</v>
      </c>
      <c r="B34" s="8"/>
      <c r="C34" s="8"/>
      <c r="D34" s="8"/>
      <c r="E34" s="8"/>
      <c r="F34" s="9"/>
      <c r="G34" s="9"/>
      <c r="H34" s="8"/>
      <c r="I34" s="5"/>
      <c r="J34" s="5"/>
      <c r="K34" s="7">
        <f t="shared" si="1"/>
        <v>0</v>
      </c>
      <c r="L34" s="8"/>
    </row>
    <row r="35" spans="1:12">
      <c r="A35" s="3">
        <f t="shared" si="0"/>
        <v>30</v>
      </c>
      <c r="B35" s="8"/>
      <c r="C35" s="8"/>
      <c r="D35" s="8"/>
      <c r="E35" s="8"/>
      <c r="F35" s="9"/>
      <c r="G35" s="9"/>
      <c r="H35" s="8"/>
      <c r="I35" s="5"/>
      <c r="J35" s="5"/>
      <c r="K35" s="7">
        <f t="shared" si="1"/>
        <v>0</v>
      </c>
      <c r="L35" s="8"/>
    </row>
  </sheetData>
  <mergeCells count="2">
    <mergeCell ref="A1:L1"/>
    <mergeCell ref="A3:L3"/>
  </mergeCells>
  <conditionalFormatting sqref="H6:H35">
    <cfRule type="containsText" dxfId="5" priority="1" operator="containsText" text="مكتمل"/>
    <cfRule type="containsText" dxfId="4" priority="2" operator="containsText" text="قيد التنفيذ"/>
    <cfRule type="containsText" dxfId="3" priority="3" operator="containsText" text="معلّق"/>
    <cfRule type="containsText" dxfId="2" priority="4" operator="containsText" text="ملغي"/>
  </conditionalFormatting>
  <conditionalFormatting sqref="K6:K35">
    <cfRule type="colorScale" priority="5">
      <colorScale>
        <cfvo type="min"/>
        <cfvo type="percentile" val="50"/>
        <cfvo type="max"/>
        <color rgb="FFFCE2E2"/>
        <color rgb="FFFFF3CD"/>
        <color rgb="FFDDEEE3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الإعدادات!$D$6:$D$13</xm:f>
          </x14:formula1>
          <xm:sqref>B6:B35</xm:sqref>
        </x14:dataValidation>
        <x14:dataValidation type="list" xr:uid="{00000000-0002-0000-0300-000001000000}">
          <x14:formula1>
            <xm:f>الإعدادات!$E$6:$E$10</xm:f>
          </x14:formula1>
          <xm:sqref>H6:H35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5"/>
  <sheetViews>
    <sheetView showGridLines="0" topLeftCell="E1" workbookViewId="0">
      <selection sqref="A1:BB1"/>
    </sheetView>
  </sheetViews>
  <sheetFormatPr defaultRowHeight="14.25"/>
  <cols>
    <col min="1" max="1" width="24" customWidth="1"/>
    <col min="2" max="2" width="16" customWidth="1"/>
    <col min="3" max="3" width="14" customWidth="1"/>
    <col min="4" max="4" width="10" customWidth="1"/>
    <col min="56" max="58" width="16" customWidth="1"/>
  </cols>
  <sheetData>
    <row r="1" spans="1:58" ht="32.1" customHeight="1">
      <c r="A1" s="13" t="s">
        <v>57</v>
      </c>
      <c r="B1" s="13" t="s">
        <v>57</v>
      </c>
      <c r="C1" s="13" t="s">
        <v>57</v>
      </c>
      <c r="D1" s="13" t="s">
        <v>57</v>
      </c>
      <c r="E1" s="13" t="s">
        <v>57</v>
      </c>
      <c r="F1" s="13" t="s">
        <v>57</v>
      </c>
      <c r="G1" s="13" t="s">
        <v>57</v>
      </c>
      <c r="H1" s="13" t="s">
        <v>57</v>
      </c>
      <c r="I1" s="13" t="s">
        <v>57</v>
      </c>
      <c r="J1" s="13" t="s">
        <v>57</v>
      </c>
      <c r="K1" s="13" t="s">
        <v>57</v>
      </c>
      <c r="L1" s="13" t="s">
        <v>57</v>
      </c>
      <c r="M1" s="13" t="s">
        <v>57</v>
      </c>
      <c r="N1" s="13" t="s">
        <v>57</v>
      </c>
      <c r="O1" s="13" t="s">
        <v>57</v>
      </c>
      <c r="P1" s="13" t="s">
        <v>57</v>
      </c>
      <c r="Q1" s="13" t="s">
        <v>57</v>
      </c>
      <c r="R1" s="13" t="s">
        <v>57</v>
      </c>
      <c r="S1" s="13" t="s">
        <v>57</v>
      </c>
      <c r="T1" s="13" t="s">
        <v>57</v>
      </c>
      <c r="U1" s="13" t="s">
        <v>57</v>
      </c>
      <c r="V1" s="13" t="s">
        <v>57</v>
      </c>
      <c r="W1" s="13" t="s">
        <v>57</v>
      </c>
      <c r="X1" s="13" t="s">
        <v>57</v>
      </c>
      <c r="Y1" s="13" t="s">
        <v>57</v>
      </c>
      <c r="Z1" s="13" t="s">
        <v>57</v>
      </c>
      <c r="AA1" s="13" t="s">
        <v>57</v>
      </c>
      <c r="AB1" s="13" t="s">
        <v>57</v>
      </c>
      <c r="AC1" s="13" t="s">
        <v>57</v>
      </c>
      <c r="AD1" s="13" t="s">
        <v>57</v>
      </c>
      <c r="AE1" s="13" t="s">
        <v>57</v>
      </c>
      <c r="AF1" s="13" t="s">
        <v>57</v>
      </c>
      <c r="AG1" s="13" t="s">
        <v>57</v>
      </c>
      <c r="AH1" s="13" t="s">
        <v>57</v>
      </c>
      <c r="AI1" s="13" t="s">
        <v>57</v>
      </c>
      <c r="AJ1" s="13" t="s">
        <v>57</v>
      </c>
      <c r="AK1" s="13" t="s">
        <v>57</v>
      </c>
      <c r="AL1" s="13" t="s">
        <v>57</v>
      </c>
      <c r="AM1" s="13" t="s">
        <v>57</v>
      </c>
      <c r="AN1" s="13" t="s">
        <v>57</v>
      </c>
      <c r="AO1" s="13" t="s">
        <v>57</v>
      </c>
      <c r="AP1" s="13" t="s">
        <v>57</v>
      </c>
      <c r="AQ1" s="13" t="s">
        <v>57</v>
      </c>
      <c r="AR1" s="13" t="s">
        <v>57</v>
      </c>
      <c r="AS1" s="13" t="s">
        <v>57</v>
      </c>
      <c r="AT1" s="13" t="s">
        <v>57</v>
      </c>
      <c r="AU1" s="13" t="s">
        <v>57</v>
      </c>
      <c r="AV1" s="13" t="s">
        <v>57</v>
      </c>
      <c r="AW1" s="13" t="s">
        <v>57</v>
      </c>
      <c r="AX1" s="13" t="s">
        <v>57</v>
      </c>
      <c r="AY1" s="13" t="s">
        <v>57</v>
      </c>
      <c r="AZ1" s="13" t="s">
        <v>57</v>
      </c>
      <c r="BA1" s="13" t="s">
        <v>57</v>
      </c>
      <c r="BB1" s="13" t="s">
        <v>57</v>
      </c>
      <c r="BC1" s="2"/>
      <c r="BD1" s="2"/>
      <c r="BE1" s="2"/>
      <c r="BF1" s="2"/>
    </row>
    <row r="2" spans="1:5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20.100000000000001" customHeight="1">
      <c r="A3" s="14" t="s">
        <v>58</v>
      </c>
      <c r="B3" s="14" t="s">
        <v>58</v>
      </c>
      <c r="C3" s="14" t="s">
        <v>58</v>
      </c>
      <c r="D3" s="14" t="s">
        <v>58</v>
      </c>
      <c r="E3" s="14" t="s">
        <v>58</v>
      </c>
      <c r="F3" s="14" t="s">
        <v>58</v>
      </c>
      <c r="G3" s="14" t="s">
        <v>58</v>
      </c>
      <c r="H3" s="14" t="s">
        <v>58</v>
      </c>
      <c r="I3" s="14" t="s">
        <v>58</v>
      </c>
      <c r="J3" s="14" t="s">
        <v>58</v>
      </c>
      <c r="K3" s="14" t="s">
        <v>58</v>
      </c>
      <c r="L3" s="14" t="s">
        <v>58</v>
      </c>
      <c r="M3" s="14" t="s">
        <v>58</v>
      </c>
      <c r="N3" s="14" t="s">
        <v>58</v>
      </c>
      <c r="O3" s="14" t="s">
        <v>58</v>
      </c>
      <c r="P3" s="14" t="s">
        <v>58</v>
      </c>
      <c r="Q3" s="14" t="s">
        <v>58</v>
      </c>
      <c r="R3" s="14" t="s">
        <v>58</v>
      </c>
      <c r="S3" s="14" t="s">
        <v>58</v>
      </c>
      <c r="T3" s="14" t="s">
        <v>58</v>
      </c>
      <c r="U3" s="14" t="s">
        <v>58</v>
      </c>
      <c r="V3" s="14" t="s">
        <v>58</v>
      </c>
      <c r="W3" s="14" t="s">
        <v>58</v>
      </c>
      <c r="X3" s="14" t="s">
        <v>58</v>
      </c>
      <c r="Y3" s="14" t="s">
        <v>58</v>
      </c>
      <c r="Z3" s="14" t="s">
        <v>58</v>
      </c>
      <c r="AA3" s="14" t="s">
        <v>58</v>
      </c>
      <c r="AB3" s="14" t="s">
        <v>58</v>
      </c>
      <c r="AC3" s="14" t="s">
        <v>58</v>
      </c>
      <c r="AD3" s="14" t="s">
        <v>58</v>
      </c>
      <c r="AE3" s="14" t="s">
        <v>58</v>
      </c>
      <c r="AF3" s="14" t="s">
        <v>58</v>
      </c>
      <c r="AG3" s="14" t="s">
        <v>58</v>
      </c>
      <c r="AH3" s="14" t="s">
        <v>58</v>
      </c>
      <c r="AI3" s="14" t="s">
        <v>58</v>
      </c>
      <c r="AJ3" s="14" t="s">
        <v>58</v>
      </c>
      <c r="AK3" s="14" t="s">
        <v>58</v>
      </c>
      <c r="AL3" s="14" t="s">
        <v>58</v>
      </c>
      <c r="AM3" s="14" t="s">
        <v>58</v>
      </c>
      <c r="AN3" s="14" t="s">
        <v>58</v>
      </c>
      <c r="AO3" s="14" t="s">
        <v>58</v>
      </c>
      <c r="AP3" s="14" t="s">
        <v>58</v>
      </c>
      <c r="AQ3" s="14" t="s">
        <v>58</v>
      </c>
      <c r="AR3" s="14" t="s">
        <v>58</v>
      </c>
      <c r="AS3" s="14" t="s">
        <v>58</v>
      </c>
      <c r="AT3" s="14" t="s">
        <v>58</v>
      </c>
      <c r="AU3" s="14" t="s">
        <v>58</v>
      </c>
      <c r="AV3" s="14" t="s">
        <v>58</v>
      </c>
      <c r="AW3" s="14" t="s">
        <v>58</v>
      </c>
      <c r="AX3" s="14" t="s">
        <v>58</v>
      </c>
      <c r="AY3" s="14" t="s">
        <v>58</v>
      </c>
      <c r="AZ3" s="14" t="s">
        <v>58</v>
      </c>
      <c r="BA3" s="14" t="s">
        <v>58</v>
      </c>
      <c r="BB3" s="14" t="s">
        <v>58</v>
      </c>
      <c r="BC3" s="2"/>
      <c r="BD3" s="2"/>
      <c r="BE3" s="2"/>
      <c r="BF3" s="2"/>
    </row>
    <row r="4" spans="1:5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30" customHeight="1">
      <c r="A5" s="1" t="s">
        <v>59</v>
      </c>
      <c r="B5" s="1" t="s">
        <v>48</v>
      </c>
      <c r="C5" s="1" t="s">
        <v>52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64</v>
      </c>
      <c r="I5" s="1" t="s">
        <v>65</v>
      </c>
      <c r="J5" s="1" t="s">
        <v>66</v>
      </c>
      <c r="K5" s="1" t="s">
        <v>67</v>
      </c>
      <c r="L5" s="1" t="s">
        <v>68</v>
      </c>
      <c r="M5" s="1" t="s">
        <v>69</v>
      </c>
      <c r="N5" s="1" t="s">
        <v>70</v>
      </c>
      <c r="O5" s="1" t="s">
        <v>71</v>
      </c>
      <c r="P5" s="1" t="s">
        <v>72</v>
      </c>
      <c r="Q5" s="1" t="s">
        <v>73</v>
      </c>
      <c r="R5" s="1" t="s">
        <v>74</v>
      </c>
      <c r="S5" s="1" t="s">
        <v>75</v>
      </c>
      <c r="T5" s="1" t="s">
        <v>76</v>
      </c>
      <c r="U5" s="1" t="s">
        <v>77</v>
      </c>
      <c r="V5" s="1" t="s">
        <v>78</v>
      </c>
      <c r="W5" s="1" t="s">
        <v>79</v>
      </c>
      <c r="X5" s="1" t="s">
        <v>80</v>
      </c>
      <c r="Y5" s="1" t="s">
        <v>81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1" t="s">
        <v>87</v>
      </c>
      <c r="AF5" s="1" t="s">
        <v>88</v>
      </c>
      <c r="AG5" s="1" t="s">
        <v>89</v>
      </c>
      <c r="AH5" s="1" t="s">
        <v>90</v>
      </c>
      <c r="AI5" s="1" t="s">
        <v>91</v>
      </c>
      <c r="AJ5" s="1" t="s">
        <v>92</v>
      </c>
      <c r="AK5" s="1" t="s">
        <v>93</v>
      </c>
      <c r="AL5" s="1" t="s">
        <v>94</v>
      </c>
      <c r="AM5" s="1" t="s">
        <v>95</v>
      </c>
      <c r="AN5" s="1" t="s">
        <v>96</v>
      </c>
      <c r="AO5" s="1" t="s">
        <v>97</v>
      </c>
      <c r="AP5" s="1" t="s">
        <v>98</v>
      </c>
      <c r="AQ5" s="1" t="s">
        <v>99</v>
      </c>
      <c r="AR5" s="1" t="s">
        <v>100</v>
      </c>
      <c r="AS5" s="1" t="s">
        <v>101</v>
      </c>
      <c r="AT5" s="1" t="s">
        <v>102</v>
      </c>
      <c r="AU5" s="1" t="s">
        <v>103</v>
      </c>
      <c r="AV5" s="1" t="s">
        <v>104</v>
      </c>
      <c r="AW5" s="1" t="s">
        <v>105</v>
      </c>
      <c r="AX5" s="1" t="s">
        <v>106</v>
      </c>
      <c r="AY5" s="1" t="s">
        <v>107</v>
      </c>
      <c r="AZ5" s="1" t="s">
        <v>108</v>
      </c>
      <c r="BA5" s="1" t="s">
        <v>109</v>
      </c>
      <c r="BB5" s="1" t="s">
        <v>110</v>
      </c>
      <c r="BC5" s="1" t="s">
        <v>111</v>
      </c>
      <c r="BD5" s="1" t="s">
        <v>112</v>
      </c>
      <c r="BE5" s="1" t="s">
        <v>113</v>
      </c>
      <c r="BF5" s="1" t="s">
        <v>114</v>
      </c>
    </row>
    <row r="6" spans="1:58">
      <c r="A6" s="8"/>
      <c r="B6" s="8"/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3">
        <f t="shared" ref="BD6:BD25" si="0">SUM(D6:BC6)</f>
        <v>0</v>
      </c>
      <c r="BE6" s="7">
        <f t="shared" ref="BE6:BE25" si="1">IFERROR(COUNTIF(D6:BC6,"&gt;=2")/52,0)</f>
        <v>0</v>
      </c>
      <c r="BF6" s="10">
        <f t="shared" ref="BF6:BF25" si="2">IFERROR(AVERAGE(D6:BC6),0)</f>
        <v>0</v>
      </c>
    </row>
    <row r="7" spans="1:58">
      <c r="A7" s="8"/>
      <c r="B7" s="8"/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3">
        <f t="shared" si="0"/>
        <v>0</v>
      </c>
      <c r="BE7" s="7">
        <f t="shared" si="1"/>
        <v>0</v>
      </c>
      <c r="BF7" s="10">
        <f t="shared" si="2"/>
        <v>0</v>
      </c>
    </row>
    <row r="8" spans="1:58">
      <c r="A8" s="8"/>
      <c r="B8" s="8"/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3">
        <f t="shared" si="0"/>
        <v>0</v>
      </c>
      <c r="BE8" s="7">
        <f t="shared" si="1"/>
        <v>0</v>
      </c>
      <c r="BF8" s="10">
        <f t="shared" si="2"/>
        <v>0</v>
      </c>
    </row>
    <row r="9" spans="1:58">
      <c r="A9" s="8"/>
      <c r="B9" s="8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3">
        <f t="shared" si="0"/>
        <v>0</v>
      </c>
      <c r="BE9" s="7">
        <f t="shared" si="1"/>
        <v>0</v>
      </c>
      <c r="BF9" s="10">
        <f t="shared" si="2"/>
        <v>0</v>
      </c>
    </row>
    <row r="10" spans="1:58">
      <c r="A10" s="8"/>
      <c r="B10" s="8"/>
      <c r="C10" s="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3">
        <f t="shared" si="0"/>
        <v>0</v>
      </c>
      <c r="BE10" s="7">
        <f t="shared" si="1"/>
        <v>0</v>
      </c>
      <c r="BF10" s="10">
        <f t="shared" si="2"/>
        <v>0</v>
      </c>
    </row>
    <row r="11" spans="1:58">
      <c r="A11" s="8"/>
      <c r="B11" s="8"/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3">
        <f t="shared" si="0"/>
        <v>0</v>
      </c>
      <c r="BE11" s="7">
        <f t="shared" si="1"/>
        <v>0</v>
      </c>
      <c r="BF11" s="10">
        <f t="shared" si="2"/>
        <v>0</v>
      </c>
    </row>
    <row r="12" spans="1:58">
      <c r="A12" s="8"/>
      <c r="B12" s="8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3">
        <f t="shared" si="0"/>
        <v>0</v>
      </c>
      <c r="BE12" s="7">
        <f t="shared" si="1"/>
        <v>0</v>
      </c>
      <c r="BF12" s="10">
        <f t="shared" si="2"/>
        <v>0</v>
      </c>
    </row>
    <row r="13" spans="1:58">
      <c r="A13" s="8"/>
      <c r="B13" s="8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3">
        <f t="shared" si="0"/>
        <v>0</v>
      </c>
      <c r="BE13" s="7">
        <f t="shared" si="1"/>
        <v>0</v>
      </c>
      <c r="BF13" s="10">
        <f t="shared" si="2"/>
        <v>0</v>
      </c>
    </row>
    <row r="14" spans="1:58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3">
        <f t="shared" si="0"/>
        <v>0</v>
      </c>
      <c r="BE14" s="7">
        <f t="shared" si="1"/>
        <v>0</v>
      </c>
      <c r="BF14" s="10">
        <f t="shared" si="2"/>
        <v>0</v>
      </c>
    </row>
    <row r="15" spans="1:58">
      <c r="A15" s="8"/>
      <c r="B15" s="8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3">
        <f t="shared" si="0"/>
        <v>0</v>
      </c>
      <c r="BE15" s="7">
        <f t="shared" si="1"/>
        <v>0</v>
      </c>
      <c r="BF15" s="10">
        <f t="shared" si="2"/>
        <v>0</v>
      </c>
    </row>
    <row r="16" spans="1:58">
      <c r="A16" s="8"/>
      <c r="B16" s="8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3">
        <f t="shared" si="0"/>
        <v>0</v>
      </c>
      <c r="BE16" s="7">
        <f t="shared" si="1"/>
        <v>0</v>
      </c>
      <c r="BF16" s="10">
        <f t="shared" si="2"/>
        <v>0</v>
      </c>
    </row>
    <row r="17" spans="1:58">
      <c r="A17" s="8"/>
      <c r="B17" s="8"/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3">
        <f t="shared" si="0"/>
        <v>0</v>
      </c>
      <c r="BE17" s="7">
        <f t="shared" si="1"/>
        <v>0</v>
      </c>
      <c r="BF17" s="10">
        <f t="shared" si="2"/>
        <v>0</v>
      </c>
    </row>
    <row r="18" spans="1:58">
      <c r="A18" s="8"/>
      <c r="B18" s="8"/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3">
        <f t="shared" si="0"/>
        <v>0</v>
      </c>
      <c r="BE18" s="7">
        <f t="shared" si="1"/>
        <v>0</v>
      </c>
      <c r="BF18" s="10">
        <f t="shared" si="2"/>
        <v>0</v>
      </c>
    </row>
    <row r="19" spans="1:58">
      <c r="A19" s="8"/>
      <c r="B19" s="8"/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3">
        <f t="shared" si="0"/>
        <v>0</v>
      </c>
      <c r="BE19" s="7">
        <f t="shared" si="1"/>
        <v>0</v>
      </c>
      <c r="BF19" s="10">
        <f t="shared" si="2"/>
        <v>0</v>
      </c>
    </row>
    <row r="20" spans="1:58">
      <c r="A20" s="8"/>
      <c r="B20" s="8"/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3">
        <f t="shared" si="0"/>
        <v>0</v>
      </c>
      <c r="BE20" s="7">
        <f t="shared" si="1"/>
        <v>0</v>
      </c>
      <c r="BF20" s="10">
        <f t="shared" si="2"/>
        <v>0</v>
      </c>
    </row>
    <row r="21" spans="1:58">
      <c r="A21" s="8"/>
      <c r="B21" s="8"/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3">
        <f t="shared" si="0"/>
        <v>0</v>
      </c>
      <c r="BE21" s="7">
        <f t="shared" si="1"/>
        <v>0</v>
      </c>
      <c r="BF21" s="10">
        <f t="shared" si="2"/>
        <v>0</v>
      </c>
    </row>
    <row r="22" spans="1:58">
      <c r="A22" s="8"/>
      <c r="B22" s="8"/>
      <c r="C22" s="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3">
        <f t="shared" si="0"/>
        <v>0</v>
      </c>
      <c r="BE22" s="7">
        <f t="shared" si="1"/>
        <v>0</v>
      </c>
      <c r="BF22" s="10">
        <f t="shared" si="2"/>
        <v>0</v>
      </c>
    </row>
    <row r="23" spans="1:58">
      <c r="A23" s="8"/>
      <c r="B23" s="8"/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3">
        <f t="shared" si="0"/>
        <v>0</v>
      </c>
      <c r="BE23" s="7">
        <f t="shared" si="1"/>
        <v>0</v>
      </c>
      <c r="BF23" s="10">
        <f t="shared" si="2"/>
        <v>0</v>
      </c>
    </row>
    <row r="24" spans="1:58">
      <c r="A24" s="8"/>
      <c r="B24" s="8"/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3">
        <f t="shared" si="0"/>
        <v>0</v>
      </c>
      <c r="BE24" s="7">
        <f t="shared" si="1"/>
        <v>0</v>
      </c>
      <c r="BF24" s="10">
        <f t="shared" si="2"/>
        <v>0</v>
      </c>
    </row>
    <row r="25" spans="1:58">
      <c r="A25" s="8"/>
      <c r="B25" s="8"/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3">
        <f t="shared" si="0"/>
        <v>0</v>
      </c>
      <c r="BE25" s="7">
        <f t="shared" si="1"/>
        <v>0</v>
      </c>
      <c r="BF25" s="10">
        <f t="shared" si="2"/>
        <v>0</v>
      </c>
    </row>
  </sheetData>
  <mergeCells count="2">
    <mergeCell ref="A1:BB1"/>
    <mergeCell ref="A3:BB3"/>
  </mergeCells>
  <conditionalFormatting sqref="D6:BC25">
    <cfRule type="cellIs" priority="1">
      <formula>0</formula>
    </cfRule>
    <cfRule type="cellIs" priority="2">
      <formula>1</formula>
    </cfRule>
    <cfRule type="cellIs" priority="3">
      <formula>2</formula>
    </cfRule>
    <cfRule type="cellIs" priority="4">
      <formula>3</formula>
    </cfRule>
  </conditionalFormatting>
  <dataValidations count="1">
    <dataValidation type="whole" sqref="D6:BC25" xr:uid="{00000000-0002-0000-0400-000000000000}">
      <formula1>0</formula1>
      <formula2>3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7"/>
  <sheetViews>
    <sheetView showGridLines="0" workbookViewId="0">
      <selection activeCell="C6" sqref="C6"/>
    </sheetView>
  </sheetViews>
  <sheetFormatPr defaultRowHeight="14.25"/>
  <cols>
    <col min="1" max="1" width="10" customWidth="1"/>
    <col min="2" max="2" width="14" customWidth="1"/>
    <col min="3" max="6" width="34" customWidth="1"/>
  </cols>
  <sheetData>
    <row r="1" spans="1:6" ht="32.1" customHeight="1">
      <c r="A1" s="13" t="s">
        <v>115</v>
      </c>
      <c r="B1" s="13" t="s">
        <v>115</v>
      </c>
      <c r="C1" s="13" t="s">
        <v>115</v>
      </c>
      <c r="D1" s="13" t="s">
        <v>115</v>
      </c>
      <c r="E1" s="13" t="s">
        <v>115</v>
      </c>
      <c r="F1" s="13" t="s">
        <v>115</v>
      </c>
    </row>
    <row r="2" spans="1:6">
      <c r="A2" s="2"/>
      <c r="B2" s="2"/>
      <c r="C2" s="2"/>
      <c r="D2" s="2"/>
      <c r="E2" s="2"/>
      <c r="F2" s="2"/>
    </row>
    <row r="3" spans="1:6" ht="20.100000000000001" customHeight="1">
      <c r="A3" s="14" t="s">
        <v>116</v>
      </c>
      <c r="B3" s="14" t="s">
        <v>116</v>
      </c>
      <c r="C3" s="14" t="s">
        <v>116</v>
      </c>
      <c r="D3" s="14" t="s">
        <v>116</v>
      </c>
      <c r="E3" s="14" t="s">
        <v>116</v>
      </c>
      <c r="F3" s="14" t="s">
        <v>116</v>
      </c>
    </row>
    <row r="4" spans="1:6">
      <c r="A4" s="2"/>
      <c r="B4" s="2"/>
      <c r="C4" s="2"/>
      <c r="D4" s="2"/>
      <c r="E4" s="2"/>
      <c r="F4" s="2"/>
    </row>
    <row r="5" spans="1:6" ht="30" customHeight="1">
      <c r="A5" s="1" t="s">
        <v>26</v>
      </c>
      <c r="B5" s="1" t="s">
        <v>27</v>
      </c>
      <c r="C5" s="1" t="s">
        <v>117</v>
      </c>
      <c r="D5" s="1" t="s">
        <v>118</v>
      </c>
      <c r="E5" s="1" t="s">
        <v>119</v>
      </c>
      <c r="F5" s="1" t="s">
        <v>56</v>
      </c>
    </row>
    <row r="6" spans="1:6">
      <c r="A6" s="3">
        <v>1</v>
      </c>
      <c r="B6" s="4">
        <f>DATE(الإعدادات!$B$6,1,1)+(A6-1)*7</f>
        <v>46023</v>
      </c>
      <c r="C6" s="8"/>
      <c r="D6" s="8"/>
      <c r="E6" s="8"/>
      <c r="F6" s="8"/>
    </row>
    <row r="7" spans="1:6">
      <c r="A7" s="3">
        <v>2</v>
      </c>
      <c r="B7" s="4">
        <f>DATE(الإعدادات!$B$6,1,1)+(A7-1)*7</f>
        <v>46030</v>
      </c>
      <c r="C7" s="8"/>
      <c r="D7" s="8"/>
      <c r="E7" s="8"/>
      <c r="F7" s="8"/>
    </row>
    <row r="8" spans="1:6">
      <c r="A8" s="3">
        <v>3</v>
      </c>
      <c r="B8" s="4">
        <f>DATE(الإعدادات!$B$6,1,1)+(A8-1)*7</f>
        <v>46037</v>
      </c>
      <c r="C8" s="8"/>
      <c r="D8" s="8"/>
      <c r="E8" s="8"/>
      <c r="F8" s="8"/>
    </row>
    <row r="9" spans="1:6">
      <c r="A9" s="3">
        <v>4</v>
      </c>
      <c r="B9" s="4">
        <f>DATE(الإعدادات!$B$6,1,1)+(A9-1)*7</f>
        <v>46044</v>
      </c>
      <c r="C9" s="8"/>
      <c r="D9" s="8"/>
      <c r="E9" s="8"/>
      <c r="F9" s="8"/>
    </row>
    <row r="10" spans="1:6">
      <c r="A10" s="3">
        <v>5</v>
      </c>
      <c r="B10" s="4">
        <f>DATE(الإعدادات!$B$6,1,1)+(A10-1)*7</f>
        <v>46051</v>
      </c>
      <c r="C10" s="8"/>
      <c r="D10" s="8"/>
      <c r="E10" s="8"/>
      <c r="F10" s="8"/>
    </row>
    <row r="11" spans="1:6">
      <c r="A11" s="3">
        <v>6</v>
      </c>
      <c r="B11" s="4">
        <f>DATE(الإعدادات!$B$6,1,1)+(A11-1)*7</f>
        <v>46058</v>
      </c>
      <c r="C11" s="8"/>
      <c r="D11" s="8"/>
      <c r="E11" s="8"/>
      <c r="F11" s="8"/>
    </row>
    <row r="12" spans="1:6">
      <c r="A12" s="3">
        <v>7</v>
      </c>
      <c r="B12" s="4">
        <f>DATE(الإعدادات!$B$6,1,1)+(A12-1)*7</f>
        <v>46065</v>
      </c>
      <c r="C12" s="8"/>
      <c r="D12" s="8"/>
      <c r="E12" s="8"/>
      <c r="F12" s="8"/>
    </row>
    <row r="13" spans="1:6">
      <c r="A13" s="3">
        <v>8</v>
      </c>
      <c r="B13" s="4">
        <f>DATE(الإعدادات!$B$6,1,1)+(A13-1)*7</f>
        <v>46072</v>
      </c>
      <c r="C13" s="8"/>
      <c r="D13" s="8"/>
      <c r="E13" s="8"/>
      <c r="F13" s="8"/>
    </row>
    <row r="14" spans="1:6">
      <c r="A14" s="3">
        <v>9</v>
      </c>
      <c r="B14" s="4">
        <f>DATE(الإعدادات!$B$6,1,1)+(A14-1)*7</f>
        <v>46079</v>
      </c>
      <c r="C14" s="8"/>
      <c r="D14" s="8"/>
      <c r="E14" s="8"/>
      <c r="F14" s="8"/>
    </row>
    <row r="15" spans="1:6">
      <c r="A15" s="3">
        <v>10</v>
      </c>
      <c r="B15" s="4">
        <f>DATE(الإعدادات!$B$6,1,1)+(A15-1)*7</f>
        <v>46086</v>
      </c>
      <c r="C15" s="8"/>
      <c r="D15" s="8"/>
      <c r="E15" s="8"/>
      <c r="F15" s="8"/>
    </row>
    <row r="16" spans="1:6">
      <c r="A16" s="3">
        <v>11</v>
      </c>
      <c r="B16" s="4">
        <f>DATE(الإعدادات!$B$6,1,1)+(A16-1)*7</f>
        <v>46093</v>
      </c>
      <c r="C16" s="8"/>
      <c r="D16" s="8"/>
      <c r="E16" s="8"/>
      <c r="F16" s="8"/>
    </row>
    <row r="17" spans="1:6">
      <c r="A17" s="3">
        <v>12</v>
      </c>
      <c r="B17" s="4">
        <f>DATE(الإعدادات!$B$6,1,1)+(A17-1)*7</f>
        <v>46100</v>
      </c>
      <c r="C17" s="8"/>
      <c r="D17" s="8"/>
      <c r="E17" s="8"/>
      <c r="F17" s="8"/>
    </row>
    <row r="18" spans="1:6">
      <c r="A18" s="3">
        <v>13</v>
      </c>
      <c r="B18" s="4">
        <f>DATE(الإعدادات!$B$6,1,1)+(A18-1)*7</f>
        <v>46107</v>
      </c>
      <c r="C18" s="8"/>
      <c r="D18" s="8"/>
      <c r="E18" s="8"/>
      <c r="F18" s="8"/>
    </row>
    <row r="19" spans="1:6">
      <c r="A19" s="3">
        <v>14</v>
      </c>
      <c r="B19" s="4">
        <f>DATE(الإعدادات!$B$6,1,1)+(A19-1)*7</f>
        <v>46114</v>
      </c>
      <c r="C19" s="8"/>
      <c r="D19" s="8"/>
      <c r="E19" s="8"/>
      <c r="F19" s="8"/>
    </row>
    <row r="20" spans="1:6">
      <c r="A20" s="3">
        <v>15</v>
      </c>
      <c r="B20" s="4">
        <f>DATE(الإعدادات!$B$6,1,1)+(A20-1)*7</f>
        <v>46121</v>
      </c>
      <c r="C20" s="8"/>
      <c r="D20" s="8"/>
      <c r="E20" s="8"/>
      <c r="F20" s="8"/>
    </row>
    <row r="21" spans="1:6">
      <c r="A21" s="3">
        <v>16</v>
      </c>
      <c r="B21" s="4">
        <f>DATE(الإعدادات!$B$6,1,1)+(A21-1)*7</f>
        <v>46128</v>
      </c>
      <c r="C21" s="8"/>
      <c r="D21" s="8"/>
      <c r="E21" s="8"/>
      <c r="F21" s="8"/>
    </row>
    <row r="22" spans="1:6">
      <c r="A22" s="3">
        <v>17</v>
      </c>
      <c r="B22" s="4">
        <f>DATE(الإعدادات!$B$6,1,1)+(A22-1)*7</f>
        <v>46135</v>
      </c>
      <c r="C22" s="8"/>
      <c r="D22" s="8"/>
      <c r="E22" s="8"/>
      <c r="F22" s="8"/>
    </row>
    <row r="23" spans="1:6">
      <c r="A23" s="3">
        <v>18</v>
      </c>
      <c r="B23" s="4">
        <f>DATE(الإعدادات!$B$6,1,1)+(A23-1)*7</f>
        <v>46142</v>
      </c>
      <c r="C23" s="8"/>
      <c r="D23" s="8"/>
      <c r="E23" s="8"/>
      <c r="F23" s="8"/>
    </row>
    <row r="24" spans="1:6">
      <c r="A24" s="3">
        <v>19</v>
      </c>
      <c r="B24" s="4">
        <f>DATE(الإعدادات!$B$6,1,1)+(A24-1)*7</f>
        <v>46149</v>
      </c>
      <c r="C24" s="8"/>
      <c r="D24" s="8"/>
      <c r="E24" s="8"/>
      <c r="F24" s="8"/>
    </row>
    <row r="25" spans="1:6">
      <c r="A25" s="3">
        <v>20</v>
      </c>
      <c r="B25" s="4">
        <f>DATE(الإعدادات!$B$6,1,1)+(A25-1)*7</f>
        <v>46156</v>
      </c>
      <c r="C25" s="8"/>
      <c r="D25" s="8"/>
      <c r="E25" s="8"/>
      <c r="F25" s="8"/>
    </row>
    <row r="26" spans="1:6">
      <c r="A26" s="3">
        <v>21</v>
      </c>
      <c r="B26" s="4">
        <f>DATE(الإعدادات!$B$6,1,1)+(A26-1)*7</f>
        <v>46163</v>
      </c>
      <c r="C26" s="8"/>
      <c r="D26" s="8"/>
      <c r="E26" s="8"/>
      <c r="F26" s="8"/>
    </row>
    <row r="27" spans="1:6">
      <c r="A27" s="3">
        <v>22</v>
      </c>
      <c r="B27" s="4">
        <f>DATE(الإعدادات!$B$6,1,1)+(A27-1)*7</f>
        <v>46170</v>
      </c>
      <c r="C27" s="8"/>
      <c r="D27" s="8"/>
      <c r="E27" s="8"/>
      <c r="F27" s="8"/>
    </row>
    <row r="28" spans="1:6">
      <c r="A28" s="3">
        <v>23</v>
      </c>
      <c r="B28" s="4">
        <f>DATE(الإعدادات!$B$6,1,1)+(A28-1)*7</f>
        <v>46177</v>
      </c>
      <c r="C28" s="8"/>
      <c r="D28" s="8"/>
      <c r="E28" s="8"/>
      <c r="F28" s="8"/>
    </row>
    <row r="29" spans="1:6">
      <c r="A29" s="3">
        <v>24</v>
      </c>
      <c r="B29" s="4">
        <f>DATE(الإعدادات!$B$6,1,1)+(A29-1)*7</f>
        <v>46184</v>
      </c>
      <c r="C29" s="8"/>
      <c r="D29" s="8"/>
      <c r="E29" s="8"/>
      <c r="F29" s="8"/>
    </row>
    <row r="30" spans="1:6">
      <c r="A30" s="3">
        <v>25</v>
      </c>
      <c r="B30" s="4">
        <f>DATE(الإعدادات!$B$6,1,1)+(A30-1)*7</f>
        <v>46191</v>
      </c>
      <c r="C30" s="8"/>
      <c r="D30" s="8"/>
      <c r="E30" s="8"/>
      <c r="F30" s="8"/>
    </row>
    <row r="31" spans="1:6">
      <c r="A31" s="3">
        <v>26</v>
      </c>
      <c r="B31" s="4">
        <f>DATE(الإعدادات!$B$6,1,1)+(A31-1)*7</f>
        <v>46198</v>
      </c>
      <c r="C31" s="8"/>
      <c r="D31" s="8"/>
      <c r="E31" s="8"/>
      <c r="F31" s="8"/>
    </row>
    <row r="32" spans="1:6">
      <c r="A32" s="3">
        <v>27</v>
      </c>
      <c r="B32" s="4">
        <f>DATE(الإعدادات!$B$6,1,1)+(A32-1)*7</f>
        <v>46205</v>
      </c>
      <c r="C32" s="8"/>
      <c r="D32" s="8"/>
      <c r="E32" s="8"/>
      <c r="F32" s="8"/>
    </row>
    <row r="33" spans="1:6">
      <c r="A33" s="3">
        <v>28</v>
      </c>
      <c r="B33" s="4">
        <f>DATE(الإعدادات!$B$6,1,1)+(A33-1)*7</f>
        <v>46212</v>
      </c>
      <c r="C33" s="8"/>
      <c r="D33" s="8"/>
      <c r="E33" s="8"/>
      <c r="F33" s="8"/>
    </row>
    <row r="34" spans="1:6">
      <c r="A34" s="3">
        <v>29</v>
      </c>
      <c r="B34" s="4">
        <f>DATE(الإعدادات!$B$6,1,1)+(A34-1)*7</f>
        <v>46219</v>
      </c>
      <c r="C34" s="8"/>
      <c r="D34" s="8"/>
      <c r="E34" s="8"/>
      <c r="F34" s="8"/>
    </row>
    <row r="35" spans="1:6">
      <c r="A35" s="3">
        <v>30</v>
      </c>
      <c r="B35" s="4">
        <f>DATE(الإعدادات!$B$6,1,1)+(A35-1)*7</f>
        <v>46226</v>
      </c>
      <c r="C35" s="8"/>
      <c r="D35" s="8"/>
      <c r="E35" s="8"/>
      <c r="F35" s="8"/>
    </row>
    <row r="36" spans="1:6">
      <c r="A36" s="3">
        <v>31</v>
      </c>
      <c r="B36" s="4">
        <f>DATE(الإعدادات!$B$6,1,1)+(A36-1)*7</f>
        <v>46233</v>
      </c>
      <c r="C36" s="8"/>
      <c r="D36" s="8"/>
      <c r="E36" s="8"/>
      <c r="F36" s="8"/>
    </row>
    <row r="37" spans="1:6">
      <c r="A37" s="3">
        <v>32</v>
      </c>
      <c r="B37" s="4">
        <f>DATE(الإعدادات!$B$6,1,1)+(A37-1)*7</f>
        <v>46240</v>
      </c>
      <c r="C37" s="8"/>
      <c r="D37" s="8"/>
      <c r="E37" s="8"/>
      <c r="F37" s="8"/>
    </row>
    <row r="38" spans="1:6">
      <c r="A38" s="3">
        <v>33</v>
      </c>
      <c r="B38" s="4">
        <f>DATE(الإعدادات!$B$6,1,1)+(A38-1)*7</f>
        <v>46247</v>
      </c>
      <c r="C38" s="8"/>
      <c r="D38" s="8"/>
      <c r="E38" s="8"/>
      <c r="F38" s="8"/>
    </row>
    <row r="39" spans="1:6">
      <c r="A39" s="3">
        <v>34</v>
      </c>
      <c r="B39" s="4">
        <f>DATE(الإعدادات!$B$6,1,1)+(A39-1)*7</f>
        <v>46254</v>
      </c>
      <c r="C39" s="8"/>
      <c r="D39" s="8"/>
      <c r="E39" s="8"/>
      <c r="F39" s="8"/>
    </row>
    <row r="40" spans="1:6">
      <c r="A40" s="3">
        <v>35</v>
      </c>
      <c r="B40" s="4">
        <f>DATE(الإعدادات!$B$6,1,1)+(A40-1)*7</f>
        <v>46261</v>
      </c>
      <c r="C40" s="8"/>
      <c r="D40" s="8"/>
      <c r="E40" s="8"/>
      <c r="F40" s="8"/>
    </row>
    <row r="41" spans="1:6">
      <c r="A41" s="3">
        <v>36</v>
      </c>
      <c r="B41" s="4">
        <f>DATE(الإعدادات!$B$6,1,1)+(A41-1)*7</f>
        <v>46268</v>
      </c>
      <c r="C41" s="8"/>
      <c r="D41" s="8"/>
      <c r="E41" s="8"/>
      <c r="F41" s="8"/>
    </row>
    <row r="42" spans="1:6">
      <c r="A42" s="3">
        <v>37</v>
      </c>
      <c r="B42" s="4">
        <f>DATE(الإعدادات!$B$6,1,1)+(A42-1)*7</f>
        <v>46275</v>
      </c>
      <c r="C42" s="8"/>
      <c r="D42" s="8"/>
      <c r="E42" s="8"/>
      <c r="F42" s="8"/>
    </row>
    <row r="43" spans="1:6">
      <c r="A43" s="3">
        <v>38</v>
      </c>
      <c r="B43" s="4">
        <f>DATE(الإعدادات!$B$6,1,1)+(A43-1)*7</f>
        <v>46282</v>
      </c>
      <c r="C43" s="8"/>
      <c r="D43" s="8"/>
      <c r="E43" s="8"/>
      <c r="F43" s="8"/>
    </row>
    <row r="44" spans="1:6">
      <c r="A44" s="3">
        <v>39</v>
      </c>
      <c r="B44" s="4">
        <f>DATE(الإعدادات!$B$6,1,1)+(A44-1)*7</f>
        <v>46289</v>
      </c>
      <c r="C44" s="8"/>
      <c r="D44" s="8"/>
      <c r="E44" s="8"/>
      <c r="F44" s="8"/>
    </row>
    <row r="45" spans="1:6">
      <c r="A45" s="3">
        <v>40</v>
      </c>
      <c r="B45" s="4">
        <f>DATE(الإعدادات!$B$6,1,1)+(A45-1)*7</f>
        <v>46296</v>
      </c>
      <c r="C45" s="8"/>
      <c r="D45" s="8"/>
      <c r="E45" s="8"/>
      <c r="F45" s="8"/>
    </row>
    <row r="46" spans="1:6">
      <c r="A46" s="3">
        <v>41</v>
      </c>
      <c r="B46" s="4">
        <f>DATE(الإعدادات!$B$6,1,1)+(A46-1)*7</f>
        <v>46303</v>
      </c>
      <c r="C46" s="8"/>
      <c r="D46" s="8"/>
      <c r="E46" s="8"/>
      <c r="F46" s="8"/>
    </row>
    <row r="47" spans="1:6">
      <c r="A47" s="3">
        <v>42</v>
      </c>
      <c r="B47" s="4">
        <f>DATE(الإعدادات!$B$6,1,1)+(A47-1)*7</f>
        <v>46310</v>
      </c>
      <c r="C47" s="8"/>
      <c r="D47" s="8"/>
      <c r="E47" s="8"/>
      <c r="F47" s="8"/>
    </row>
    <row r="48" spans="1:6">
      <c r="A48" s="3">
        <v>43</v>
      </c>
      <c r="B48" s="4">
        <f>DATE(الإعدادات!$B$6,1,1)+(A48-1)*7</f>
        <v>46317</v>
      </c>
      <c r="C48" s="8"/>
      <c r="D48" s="8"/>
      <c r="E48" s="8"/>
      <c r="F48" s="8"/>
    </row>
    <row r="49" spans="1:6">
      <c r="A49" s="3">
        <v>44</v>
      </c>
      <c r="B49" s="4">
        <f>DATE(الإعدادات!$B$6,1,1)+(A49-1)*7</f>
        <v>46324</v>
      </c>
      <c r="C49" s="8"/>
      <c r="D49" s="8"/>
      <c r="E49" s="8"/>
      <c r="F49" s="8"/>
    </row>
    <row r="50" spans="1:6">
      <c r="A50" s="3">
        <v>45</v>
      </c>
      <c r="B50" s="4">
        <f>DATE(الإعدادات!$B$6,1,1)+(A50-1)*7</f>
        <v>46331</v>
      </c>
      <c r="C50" s="8"/>
      <c r="D50" s="8"/>
      <c r="E50" s="8"/>
      <c r="F50" s="8"/>
    </row>
    <row r="51" spans="1:6">
      <c r="A51" s="3">
        <v>46</v>
      </c>
      <c r="B51" s="4">
        <f>DATE(الإعدادات!$B$6,1,1)+(A51-1)*7</f>
        <v>46338</v>
      </c>
      <c r="C51" s="8"/>
      <c r="D51" s="8"/>
      <c r="E51" s="8"/>
      <c r="F51" s="8"/>
    </row>
    <row r="52" spans="1:6">
      <c r="A52" s="3">
        <v>47</v>
      </c>
      <c r="B52" s="4">
        <f>DATE(الإعدادات!$B$6,1,1)+(A52-1)*7</f>
        <v>46345</v>
      </c>
      <c r="C52" s="8"/>
      <c r="D52" s="8"/>
      <c r="E52" s="8"/>
      <c r="F52" s="8"/>
    </row>
    <row r="53" spans="1:6">
      <c r="A53" s="3">
        <v>48</v>
      </c>
      <c r="B53" s="4">
        <f>DATE(الإعدادات!$B$6,1,1)+(A53-1)*7</f>
        <v>46352</v>
      </c>
      <c r="C53" s="8"/>
      <c r="D53" s="8"/>
      <c r="E53" s="8"/>
      <c r="F53" s="8"/>
    </row>
    <row r="54" spans="1:6">
      <c r="A54" s="3">
        <v>49</v>
      </c>
      <c r="B54" s="4">
        <f>DATE(الإعدادات!$B$6,1,1)+(A54-1)*7</f>
        <v>46359</v>
      </c>
      <c r="C54" s="8"/>
      <c r="D54" s="8"/>
      <c r="E54" s="8"/>
      <c r="F54" s="8"/>
    </row>
    <row r="55" spans="1:6">
      <c r="A55" s="3">
        <v>50</v>
      </c>
      <c r="B55" s="4">
        <f>DATE(الإعدادات!$B$6,1,1)+(A55-1)*7</f>
        <v>46366</v>
      </c>
      <c r="C55" s="8"/>
      <c r="D55" s="8"/>
      <c r="E55" s="8"/>
      <c r="F55" s="8"/>
    </row>
    <row r="56" spans="1:6">
      <c r="A56" s="3">
        <v>51</v>
      </c>
      <c r="B56" s="4">
        <f>DATE(الإعدادات!$B$6,1,1)+(A56-1)*7</f>
        <v>46373</v>
      </c>
      <c r="C56" s="8"/>
      <c r="D56" s="8"/>
      <c r="E56" s="8"/>
      <c r="F56" s="8"/>
    </row>
    <row r="57" spans="1:6">
      <c r="A57" s="3">
        <v>52</v>
      </c>
      <c r="B57" s="4">
        <f>DATE(الإعدادات!$B$6,1,1)+(A57-1)*7</f>
        <v>46380</v>
      </c>
      <c r="C57" s="8"/>
      <c r="D57" s="8"/>
      <c r="E57" s="8"/>
      <c r="F57" s="8"/>
    </row>
  </sheetData>
  <mergeCells count="2">
    <mergeCell ref="A1:F1"/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5"/>
  <sheetViews>
    <sheetView showGridLines="0" tabSelected="1" workbookViewId="0">
      <selection activeCell="B7" sqref="B7"/>
    </sheetView>
  </sheetViews>
  <sheetFormatPr defaultRowHeight="14.25"/>
  <cols>
    <col min="1" max="1" width="14" customWidth="1"/>
    <col min="2" max="2" width="20" customWidth="1"/>
    <col min="3" max="3" width="12" customWidth="1"/>
    <col min="4" max="6" width="16" customWidth="1"/>
    <col min="7" max="7" width="14" customWidth="1"/>
  </cols>
  <sheetData>
    <row r="1" spans="1:7" ht="32.1" customHeight="1">
      <c r="A1" s="13" t="s">
        <v>120</v>
      </c>
      <c r="B1" s="13" t="s">
        <v>120</v>
      </c>
      <c r="C1" s="13" t="s">
        <v>120</v>
      </c>
      <c r="D1" s="13" t="s">
        <v>120</v>
      </c>
      <c r="E1" s="13" t="s">
        <v>120</v>
      </c>
      <c r="F1" s="13" t="s">
        <v>120</v>
      </c>
      <c r="G1" s="13" t="s">
        <v>120</v>
      </c>
    </row>
    <row r="2" spans="1:7">
      <c r="A2" s="2"/>
      <c r="B2" s="2"/>
      <c r="C2" s="2"/>
      <c r="D2" s="2"/>
      <c r="E2" s="2"/>
      <c r="F2" s="2"/>
      <c r="G2" s="2"/>
    </row>
    <row r="3" spans="1:7" ht="20.100000000000001" customHeight="1">
      <c r="A3" s="14" t="s">
        <v>121</v>
      </c>
      <c r="B3" s="14" t="s">
        <v>121</v>
      </c>
      <c r="C3" s="14" t="s">
        <v>121</v>
      </c>
      <c r="D3" s="14" t="s">
        <v>121</v>
      </c>
      <c r="E3" s="14" t="s">
        <v>121</v>
      </c>
      <c r="F3" s="14" t="s">
        <v>121</v>
      </c>
      <c r="G3" s="14" t="s">
        <v>121</v>
      </c>
    </row>
    <row r="4" spans="1:7">
      <c r="A4" s="2"/>
      <c r="B4" s="2"/>
      <c r="C4" s="2"/>
      <c r="D4" s="2"/>
      <c r="E4" s="2"/>
      <c r="F4" s="2"/>
      <c r="G4" s="2"/>
    </row>
    <row r="5" spans="1:7" ht="30" customHeight="1">
      <c r="A5" s="1" t="s">
        <v>13</v>
      </c>
      <c r="B5" s="1" t="s">
        <v>48</v>
      </c>
      <c r="C5" s="1" t="s">
        <v>122</v>
      </c>
      <c r="D5" s="1" t="s">
        <v>123</v>
      </c>
      <c r="E5" s="1" t="s">
        <v>124</v>
      </c>
      <c r="F5" s="1" t="s">
        <v>125</v>
      </c>
      <c r="G5" s="1" t="s">
        <v>126</v>
      </c>
    </row>
    <row r="6" spans="1:7">
      <c r="A6" s="8" t="s">
        <v>143</v>
      </c>
      <c r="B6" s="8" t="s">
        <v>142</v>
      </c>
      <c r="C6" s="8" t="s">
        <v>141</v>
      </c>
      <c r="D6" s="5">
        <v>2000</v>
      </c>
      <c r="E6" s="5">
        <v>5000</v>
      </c>
      <c r="F6" s="6">
        <f t="shared" ref="F6:F37" si="0">IF(C6="مصروف",D6-E6,E6-D6)</f>
        <v>3000</v>
      </c>
      <c r="G6" s="7">
        <f t="shared" ref="G6:G37" si="1">IFERROR(F6/D6,0)</f>
        <v>1.5</v>
      </c>
    </row>
    <row r="7" spans="1:7">
      <c r="A7" s="8"/>
      <c r="B7" s="8"/>
      <c r="C7" s="8" t="s">
        <v>147</v>
      </c>
      <c r="D7" s="5">
        <v>3000</v>
      </c>
      <c r="E7" s="5">
        <v>2000</v>
      </c>
      <c r="F7" s="6">
        <f>IF(C7="مصروف",D7-E7,E7-D7)</f>
        <v>1000</v>
      </c>
      <c r="G7" s="7">
        <f>IFERROR(F7/D7,0)</f>
        <v>0.33333333333333331</v>
      </c>
    </row>
    <row r="8" spans="1:7">
      <c r="A8" s="8"/>
      <c r="B8" s="8"/>
      <c r="C8" s="8"/>
      <c r="D8" s="5"/>
      <c r="E8" s="5"/>
      <c r="F8" s="6">
        <f t="shared" si="0"/>
        <v>0</v>
      </c>
      <c r="G8" s="7">
        <f t="shared" si="1"/>
        <v>0</v>
      </c>
    </row>
    <row r="9" spans="1:7">
      <c r="A9" s="8"/>
      <c r="B9" s="8"/>
      <c r="C9" s="8"/>
      <c r="D9" s="5"/>
      <c r="E9" s="5"/>
      <c r="F9" s="6">
        <f t="shared" si="0"/>
        <v>0</v>
      </c>
      <c r="G9" s="7">
        <f t="shared" si="1"/>
        <v>0</v>
      </c>
    </row>
    <row r="10" spans="1:7">
      <c r="A10" s="8"/>
      <c r="B10" s="8"/>
      <c r="C10" s="8"/>
      <c r="D10" s="5"/>
      <c r="E10" s="5"/>
      <c r="F10" s="6">
        <f t="shared" si="0"/>
        <v>0</v>
      </c>
      <c r="G10" s="7">
        <f t="shared" si="1"/>
        <v>0</v>
      </c>
    </row>
    <row r="11" spans="1:7">
      <c r="A11" s="8"/>
      <c r="B11" s="8"/>
      <c r="C11" s="8"/>
      <c r="D11" s="5"/>
      <c r="E11" s="5"/>
      <c r="F11" s="6">
        <f t="shared" si="0"/>
        <v>0</v>
      </c>
      <c r="G11" s="7">
        <f t="shared" si="1"/>
        <v>0</v>
      </c>
    </row>
    <row r="12" spans="1:7">
      <c r="A12" s="8"/>
      <c r="B12" s="8"/>
      <c r="C12" s="8"/>
      <c r="D12" s="5"/>
      <c r="E12" s="5"/>
      <c r="F12" s="6">
        <f t="shared" si="0"/>
        <v>0</v>
      </c>
      <c r="G12" s="7">
        <f t="shared" si="1"/>
        <v>0</v>
      </c>
    </row>
    <row r="13" spans="1:7">
      <c r="A13" s="8"/>
      <c r="B13" s="8"/>
      <c r="C13" s="8"/>
      <c r="D13" s="5"/>
      <c r="E13" s="5"/>
      <c r="F13" s="6">
        <f t="shared" si="0"/>
        <v>0</v>
      </c>
      <c r="G13" s="7">
        <f t="shared" si="1"/>
        <v>0</v>
      </c>
    </row>
    <row r="14" spans="1:7">
      <c r="A14" s="8"/>
      <c r="B14" s="8"/>
      <c r="C14" s="8"/>
      <c r="D14" s="5"/>
      <c r="E14" s="5"/>
      <c r="F14" s="6">
        <f t="shared" si="0"/>
        <v>0</v>
      </c>
      <c r="G14" s="7">
        <f t="shared" si="1"/>
        <v>0</v>
      </c>
    </row>
    <row r="15" spans="1:7">
      <c r="A15" s="8"/>
      <c r="B15" s="8"/>
      <c r="C15" s="8"/>
      <c r="D15" s="5"/>
      <c r="E15" s="5"/>
      <c r="F15" s="6">
        <f t="shared" si="0"/>
        <v>0</v>
      </c>
      <c r="G15" s="7">
        <f t="shared" si="1"/>
        <v>0</v>
      </c>
    </row>
    <row r="16" spans="1:7">
      <c r="A16" s="8"/>
      <c r="B16" s="8"/>
      <c r="C16" s="8"/>
      <c r="D16" s="5"/>
      <c r="E16" s="5"/>
      <c r="F16" s="6">
        <f t="shared" si="0"/>
        <v>0</v>
      </c>
      <c r="G16" s="7">
        <f t="shared" si="1"/>
        <v>0</v>
      </c>
    </row>
    <row r="17" spans="1:7">
      <c r="A17" s="8"/>
      <c r="B17" s="8"/>
      <c r="C17" s="8"/>
      <c r="D17" s="5"/>
      <c r="E17" s="5"/>
      <c r="F17" s="6">
        <f t="shared" si="0"/>
        <v>0</v>
      </c>
      <c r="G17" s="7">
        <f t="shared" si="1"/>
        <v>0</v>
      </c>
    </row>
    <row r="18" spans="1:7">
      <c r="A18" s="8"/>
      <c r="B18" s="8"/>
      <c r="C18" s="8"/>
      <c r="D18" s="5"/>
      <c r="E18" s="5"/>
      <c r="F18" s="6">
        <f t="shared" si="0"/>
        <v>0</v>
      </c>
      <c r="G18" s="7">
        <f t="shared" si="1"/>
        <v>0</v>
      </c>
    </row>
    <row r="19" spans="1:7">
      <c r="A19" s="8"/>
      <c r="B19" s="8"/>
      <c r="C19" s="8"/>
      <c r="D19" s="5"/>
      <c r="E19" s="5"/>
      <c r="F19" s="6">
        <f t="shared" si="0"/>
        <v>0</v>
      </c>
      <c r="G19" s="7">
        <f t="shared" si="1"/>
        <v>0</v>
      </c>
    </row>
    <row r="20" spans="1:7">
      <c r="A20" s="8"/>
      <c r="B20" s="8"/>
      <c r="C20" s="8"/>
      <c r="D20" s="5"/>
      <c r="E20" s="5"/>
      <c r="F20" s="6">
        <f t="shared" si="0"/>
        <v>0</v>
      </c>
      <c r="G20" s="7">
        <f t="shared" si="1"/>
        <v>0</v>
      </c>
    </row>
    <row r="21" spans="1:7">
      <c r="A21" s="8"/>
      <c r="B21" s="8"/>
      <c r="C21" s="8"/>
      <c r="D21" s="5"/>
      <c r="E21" s="5"/>
      <c r="F21" s="6">
        <f t="shared" si="0"/>
        <v>0</v>
      </c>
      <c r="G21" s="7">
        <f t="shared" si="1"/>
        <v>0</v>
      </c>
    </row>
    <row r="22" spans="1:7">
      <c r="A22" s="8"/>
      <c r="B22" s="8"/>
      <c r="C22" s="8"/>
      <c r="D22" s="5"/>
      <c r="E22" s="5"/>
      <c r="F22" s="6">
        <f t="shared" si="0"/>
        <v>0</v>
      </c>
      <c r="G22" s="7">
        <f t="shared" si="1"/>
        <v>0</v>
      </c>
    </row>
    <row r="23" spans="1:7">
      <c r="A23" s="8"/>
      <c r="B23" s="8"/>
      <c r="C23" s="8"/>
      <c r="D23" s="5"/>
      <c r="E23" s="5"/>
      <c r="F23" s="6">
        <f t="shared" si="0"/>
        <v>0</v>
      </c>
      <c r="G23" s="7">
        <f t="shared" si="1"/>
        <v>0</v>
      </c>
    </row>
    <row r="24" spans="1:7">
      <c r="A24" s="8"/>
      <c r="B24" s="8"/>
      <c r="C24" s="8"/>
      <c r="D24" s="5"/>
      <c r="E24" s="5"/>
      <c r="F24" s="6">
        <f t="shared" si="0"/>
        <v>0</v>
      </c>
      <c r="G24" s="7">
        <f t="shared" si="1"/>
        <v>0</v>
      </c>
    </row>
    <row r="25" spans="1:7">
      <c r="A25" s="8"/>
      <c r="B25" s="8"/>
      <c r="C25" s="8"/>
      <c r="D25" s="5"/>
      <c r="E25" s="5"/>
      <c r="F25" s="6">
        <f t="shared" si="0"/>
        <v>0</v>
      </c>
      <c r="G25" s="7">
        <f t="shared" si="1"/>
        <v>0</v>
      </c>
    </row>
    <row r="26" spans="1:7">
      <c r="A26" s="8"/>
      <c r="B26" s="8"/>
      <c r="C26" s="8"/>
      <c r="D26" s="5"/>
      <c r="E26" s="5"/>
      <c r="F26" s="6">
        <f t="shared" si="0"/>
        <v>0</v>
      </c>
      <c r="G26" s="7">
        <f t="shared" si="1"/>
        <v>0</v>
      </c>
    </row>
    <row r="27" spans="1:7">
      <c r="A27" s="8"/>
      <c r="B27" s="8"/>
      <c r="C27" s="8"/>
      <c r="D27" s="5"/>
      <c r="E27" s="5"/>
      <c r="F27" s="6">
        <f t="shared" si="0"/>
        <v>0</v>
      </c>
      <c r="G27" s="7">
        <f t="shared" si="1"/>
        <v>0</v>
      </c>
    </row>
    <row r="28" spans="1:7">
      <c r="A28" s="8"/>
      <c r="B28" s="8"/>
      <c r="C28" s="8"/>
      <c r="D28" s="5"/>
      <c r="E28" s="5"/>
      <c r="F28" s="6">
        <f t="shared" si="0"/>
        <v>0</v>
      </c>
      <c r="G28" s="7">
        <f t="shared" si="1"/>
        <v>0</v>
      </c>
    </row>
    <row r="29" spans="1:7">
      <c r="A29" s="8"/>
      <c r="B29" s="8"/>
      <c r="C29" s="8"/>
      <c r="D29" s="5"/>
      <c r="E29" s="5"/>
      <c r="F29" s="6">
        <f t="shared" si="0"/>
        <v>0</v>
      </c>
      <c r="G29" s="7">
        <f t="shared" si="1"/>
        <v>0</v>
      </c>
    </row>
    <row r="30" spans="1:7">
      <c r="A30" s="8"/>
      <c r="B30" s="8"/>
      <c r="C30" s="8"/>
      <c r="D30" s="5"/>
      <c r="E30" s="5"/>
      <c r="F30" s="6">
        <f t="shared" si="0"/>
        <v>0</v>
      </c>
      <c r="G30" s="7">
        <f t="shared" si="1"/>
        <v>0</v>
      </c>
    </row>
    <row r="31" spans="1:7">
      <c r="A31" s="8"/>
      <c r="B31" s="8"/>
      <c r="C31" s="8"/>
      <c r="D31" s="5"/>
      <c r="E31" s="5"/>
      <c r="F31" s="6">
        <f t="shared" si="0"/>
        <v>0</v>
      </c>
      <c r="G31" s="7">
        <f t="shared" si="1"/>
        <v>0</v>
      </c>
    </row>
    <row r="32" spans="1:7">
      <c r="A32" s="8"/>
      <c r="B32" s="8"/>
      <c r="C32" s="8"/>
      <c r="D32" s="5"/>
      <c r="E32" s="5"/>
      <c r="F32" s="6">
        <f t="shared" si="0"/>
        <v>0</v>
      </c>
      <c r="G32" s="7">
        <f t="shared" si="1"/>
        <v>0</v>
      </c>
    </row>
    <row r="33" spans="1:7">
      <c r="A33" s="8"/>
      <c r="B33" s="8"/>
      <c r="C33" s="8"/>
      <c r="D33" s="5"/>
      <c r="E33" s="5"/>
      <c r="F33" s="6">
        <f t="shared" si="0"/>
        <v>0</v>
      </c>
      <c r="G33" s="7">
        <f t="shared" si="1"/>
        <v>0</v>
      </c>
    </row>
    <row r="34" spans="1:7">
      <c r="A34" s="8"/>
      <c r="B34" s="8"/>
      <c r="C34" s="8"/>
      <c r="D34" s="5"/>
      <c r="E34" s="5"/>
      <c r="F34" s="6">
        <f t="shared" si="0"/>
        <v>0</v>
      </c>
      <c r="G34" s="7">
        <f t="shared" si="1"/>
        <v>0</v>
      </c>
    </row>
    <row r="35" spans="1:7">
      <c r="A35" s="8"/>
      <c r="B35" s="8"/>
      <c r="C35" s="8"/>
      <c r="D35" s="5"/>
      <c r="E35" s="5"/>
      <c r="F35" s="6">
        <f t="shared" si="0"/>
        <v>0</v>
      </c>
      <c r="G35" s="7">
        <f t="shared" si="1"/>
        <v>0</v>
      </c>
    </row>
    <row r="36" spans="1:7">
      <c r="A36" s="8"/>
      <c r="B36" s="8"/>
      <c r="C36" s="8"/>
      <c r="D36" s="5"/>
      <c r="E36" s="5"/>
      <c r="F36" s="6">
        <f t="shared" si="0"/>
        <v>0</v>
      </c>
      <c r="G36" s="7">
        <f t="shared" si="1"/>
        <v>0</v>
      </c>
    </row>
    <row r="37" spans="1:7">
      <c r="A37" s="8"/>
      <c r="B37" s="8"/>
      <c r="C37" s="8"/>
      <c r="D37" s="5"/>
      <c r="E37" s="5"/>
      <c r="F37" s="6">
        <f t="shared" si="0"/>
        <v>0</v>
      </c>
      <c r="G37" s="7">
        <f t="shared" si="1"/>
        <v>0</v>
      </c>
    </row>
    <row r="38" spans="1:7">
      <c r="A38" s="8"/>
      <c r="B38" s="8"/>
      <c r="C38" s="8"/>
      <c r="D38" s="5"/>
      <c r="E38" s="5"/>
      <c r="F38" s="6">
        <f t="shared" ref="F38:F69" si="2">IF(C38="مصروف",D38-E38,E38-D38)</f>
        <v>0</v>
      </c>
      <c r="G38" s="7">
        <f t="shared" ref="G38:G69" si="3">IFERROR(F38/D38,0)</f>
        <v>0</v>
      </c>
    </row>
    <row r="39" spans="1:7">
      <c r="A39" s="8"/>
      <c r="B39" s="8"/>
      <c r="C39" s="8"/>
      <c r="D39" s="5"/>
      <c r="E39" s="5"/>
      <c r="F39" s="6">
        <f t="shared" si="2"/>
        <v>0</v>
      </c>
      <c r="G39" s="7">
        <f t="shared" si="3"/>
        <v>0</v>
      </c>
    </row>
    <row r="40" spans="1:7">
      <c r="A40" s="8"/>
      <c r="B40" s="8"/>
      <c r="C40" s="8"/>
      <c r="D40" s="5"/>
      <c r="E40" s="5"/>
      <c r="F40" s="6">
        <f t="shared" si="2"/>
        <v>0</v>
      </c>
      <c r="G40" s="7">
        <f t="shared" si="3"/>
        <v>0</v>
      </c>
    </row>
    <row r="41" spans="1:7">
      <c r="A41" s="8"/>
      <c r="B41" s="8"/>
      <c r="C41" s="8"/>
      <c r="D41" s="5"/>
      <c r="E41" s="5"/>
      <c r="F41" s="6">
        <f t="shared" si="2"/>
        <v>0</v>
      </c>
      <c r="G41" s="7">
        <f t="shared" si="3"/>
        <v>0</v>
      </c>
    </row>
    <row r="42" spans="1:7">
      <c r="A42" s="8"/>
      <c r="B42" s="8"/>
      <c r="C42" s="8"/>
      <c r="D42" s="5"/>
      <c r="E42" s="5"/>
      <c r="F42" s="6">
        <f t="shared" si="2"/>
        <v>0</v>
      </c>
      <c r="G42" s="7">
        <f t="shared" si="3"/>
        <v>0</v>
      </c>
    </row>
    <row r="43" spans="1:7">
      <c r="A43" s="8"/>
      <c r="B43" s="8"/>
      <c r="C43" s="8"/>
      <c r="D43" s="5"/>
      <c r="E43" s="5"/>
      <c r="F43" s="6">
        <f t="shared" si="2"/>
        <v>0</v>
      </c>
      <c r="G43" s="7">
        <f t="shared" si="3"/>
        <v>0</v>
      </c>
    </row>
    <row r="44" spans="1:7">
      <c r="A44" s="8"/>
      <c r="B44" s="8"/>
      <c r="C44" s="8"/>
      <c r="D44" s="5"/>
      <c r="E44" s="5"/>
      <c r="F44" s="6">
        <f t="shared" si="2"/>
        <v>0</v>
      </c>
      <c r="G44" s="7">
        <f t="shared" si="3"/>
        <v>0</v>
      </c>
    </row>
    <row r="45" spans="1:7">
      <c r="A45" s="8"/>
      <c r="B45" s="8"/>
      <c r="C45" s="8"/>
      <c r="D45" s="5"/>
      <c r="E45" s="5"/>
      <c r="F45" s="6">
        <f t="shared" si="2"/>
        <v>0</v>
      </c>
      <c r="G45" s="7">
        <f t="shared" si="3"/>
        <v>0</v>
      </c>
    </row>
    <row r="46" spans="1:7">
      <c r="A46" s="8"/>
      <c r="B46" s="8"/>
      <c r="C46" s="8"/>
      <c r="D46" s="5"/>
      <c r="E46" s="5"/>
      <c r="F46" s="6">
        <f t="shared" si="2"/>
        <v>0</v>
      </c>
      <c r="G46" s="7">
        <f t="shared" si="3"/>
        <v>0</v>
      </c>
    </row>
    <row r="47" spans="1:7">
      <c r="A47" s="8"/>
      <c r="B47" s="8"/>
      <c r="C47" s="8"/>
      <c r="D47" s="5"/>
      <c r="E47" s="5"/>
      <c r="F47" s="6">
        <f t="shared" si="2"/>
        <v>0</v>
      </c>
      <c r="G47" s="7">
        <f t="shared" si="3"/>
        <v>0</v>
      </c>
    </row>
    <row r="48" spans="1:7">
      <c r="A48" s="8"/>
      <c r="B48" s="8"/>
      <c r="C48" s="8"/>
      <c r="D48" s="5"/>
      <c r="E48" s="5"/>
      <c r="F48" s="6">
        <f t="shared" si="2"/>
        <v>0</v>
      </c>
      <c r="G48" s="7">
        <f t="shared" si="3"/>
        <v>0</v>
      </c>
    </row>
    <row r="49" spans="1:7">
      <c r="A49" s="8"/>
      <c r="B49" s="8"/>
      <c r="C49" s="8"/>
      <c r="D49" s="5"/>
      <c r="E49" s="5"/>
      <c r="F49" s="6">
        <f t="shared" si="2"/>
        <v>0</v>
      </c>
      <c r="G49" s="7">
        <f t="shared" si="3"/>
        <v>0</v>
      </c>
    </row>
    <row r="50" spans="1:7">
      <c r="A50" s="8"/>
      <c r="B50" s="8"/>
      <c r="C50" s="8"/>
      <c r="D50" s="5"/>
      <c r="E50" s="5"/>
      <c r="F50" s="6">
        <f t="shared" si="2"/>
        <v>0</v>
      </c>
      <c r="G50" s="7">
        <f t="shared" si="3"/>
        <v>0</v>
      </c>
    </row>
    <row r="51" spans="1:7">
      <c r="A51" s="8"/>
      <c r="B51" s="8"/>
      <c r="C51" s="8"/>
      <c r="D51" s="5"/>
      <c r="E51" s="5"/>
      <c r="F51" s="6">
        <f t="shared" si="2"/>
        <v>0</v>
      </c>
      <c r="G51" s="7">
        <f t="shared" si="3"/>
        <v>0</v>
      </c>
    </row>
    <row r="52" spans="1:7">
      <c r="A52" s="8"/>
      <c r="B52" s="8"/>
      <c r="C52" s="8"/>
      <c r="D52" s="5"/>
      <c r="E52" s="5"/>
      <c r="F52" s="6">
        <f t="shared" si="2"/>
        <v>0</v>
      </c>
      <c r="G52" s="7">
        <f t="shared" si="3"/>
        <v>0</v>
      </c>
    </row>
    <row r="53" spans="1:7">
      <c r="A53" s="8"/>
      <c r="B53" s="8"/>
      <c r="C53" s="8"/>
      <c r="D53" s="5"/>
      <c r="E53" s="5"/>
      <c r="F53" s="6">
        <f t="shared" si="2"/>
        <v>0</v>
      </c>
      <c r="G53" s="7">
        <f t="shared" si="3"/>
        <v>0</v>
      </c>
    </row>
    <row r="54" spans="1:7">
      <c r="A54" s="8"/>
      <c r="B54" s="8"/>
      <c r="C54" s="8"/>
      <c r="D54" s="5"/>
      <c r="E54" s="5"/>
      <c r="F54" s="6">
        <f t="shared" si="2"/>
        <v>0</v>
      </c>
      <c r="G54" s="7">
        <f t="shared" si="3"/>
        <v>0</v>
      </c>
    </row>
    <row r="55" spans="1:7">
      <c r="A55" s="8"/>
      <c r="B55" s="8"/>
      <c r="C55" s="8"/>
      <c r="D55" s="5"/>
      <c r="E55" s="5"/>
      <c r="F55" s="6">
        <f t="shared" si="2"/>
        <v>0</v>
      </c>
      <c r="G55" s="7">
        <f t="shared" si="3"/>
        <v>0</v>
      </c>
    </row>
    <row r="56" spans="1:7">
      <c r="A56" s="8"/>
      <c r="B56" s="8"/>
      <c r="C56" s="8"/>
      <c r="D56" s="5"/>
      <c r="E56" s="5"/>
      <c r="F56" s="6">
        <f t="shared" si="2"/>
        <v>0</v>
      </c>
      <c r="G56" s="7">
        <f t="shared" si="3"/>
        <v>0</v>
      </c>
    </row>
    <row r="57" spans="1:7">
      <c r="A57" s="8"/>
      <c r="B57" s="8"/>
      <c r="C57" s="8"/>
      <c r="D57" s="5"/>
      <c r="E57" s="5"/>
      <c r="F57" s="6">
        <f t="shared" si="2"/>
        <v>0</v>
      </c>
      <c r="G57" s="7">
        <f t="shared" si="3"/>
        <v>0</v>
      </c>
    </row>
    <row r="58" spans="1:7">
      <c r="A58" s="8"/>
      <c r="B58" s="8"/>
      <c r="C58" s="8"/>
      <c r="D58" s="5"/>
      <c r="E58" s="5"/>
      <c r="F58" s="6">
        <f t="shared" si="2"/>
        <v>0</v>
      </c>
      <c r="G58" s="7">
        <f t="shared" si="3"/>
        <v>0</v>
      </c>
    </row>
    <row r="59" spans="1:7">
      <c r="A59" s="8"/>
      <c r="B59" s="8"/>
      <c r="C59" s="8"/>
      <c r="D59" s="5"/>
      <c r="E59" s="5"/>
      <c r="F59" s="6">
        <f t="shared" si="2"/>
        <v>0</v>
      </c>
      <c r="G59" s="7">
        <f t="shared" si="3"/>
        <v>0</v>
      </c>
    </row>
    <row r="60" spans="1:7">
      <c r="A60" s="8"/>
      <c r="B60" s="8"/>
      <c r="C60" s="8"/>
      <c r="D60" s="5"/>
      <c r="E60" s="5"/>
      <c r="F60" s="6">
        <f t="shared" si="2"/>
        <v>0</v>
      </c>
      <c r="G60" s="7">
        <f t="shared" si="3"/>
        <v>0</v>
      </c>
    </row>
    <row r="61" spans="1:7">
      <c r="A61" s="8"/>
      <c r="B61" s="8"/>
      <c r="C61" s="8"/>
      <c r="D61" s="5"/>
      <c r="E61" s="5"/>
      <c r="F61" s="6">
        <f t="shared" si="2"/>
        <v>0</v>
      </c>
      <c r="G61" s="7">
        <f t="shared" si="3"/>
        <v>0</v>
      </c>
    </row>
    <row r="62" spans="1:7">
      <c r="A62" s="8"/>
      <c r="B62" s="8"/>
      <c r="C62" s="8"/>
      <c r="D62" s="5"/>
      <c r="E62" s="5"/>
      <c r="F62" s="6">
        <f t="shared" si="2"/>
        <v>0</v>
      </c>
      <c r="G62" s="7">
        <f t="shared" si="3"/>
        <v>0</v>
      </c>
    </row>
    <row r="63" spans="1:7">
      <c r="A63" s="8"/>
      <c r="B63" s="8"/>
      <c r="C63" s="8"/>
      <c r="D63" s="5"/>
      <c r="E63" s="5"/>
      <c r="F63" s="6">
        <f t="shared" si="2"/>
        <v>0</v>
      </c>
      <c r="G63" s="7">
        <f t="shared" si="3"/>
        <v>0</v>
      </c>
    </row>
    <row r="64" spans="1:7">
      <c r="A64" s="8"/>
      <c r="B64" s="8"/>
      <c r="C64" s="8"/>
      <c r="D64" s="5"/>
      <c r="E64" s="5"/>
      <c r="F64" s="6">
        <f t="shared" si="2"/>
        <v>0</v>
      </c>
      <c r="G64" s="7">
        <f t="shared" si="3"/>
        <v>0</v>
      </c>
    </row>
    <row r="65" spans="1:7">
      <c r="A65" s="8"/>
      <c r="B65" s="8"/>
      <c r="C65" s="8"/>
      <c r="D65" s="5"/>
      <c r="E65" s="5"/>
      <c r="F65" s="6">
        <f t="shared" si="2"/>
        <v>0</v>
      </c>
      <c r="G65" s="7">
        <f t="shared" si="3"/>
        <v>0</v>
      </c>
    </row>
    <row r="66" spans="1:7">
      <c r="A66" s="8"/>
      <c r="B66" s="8"/>
      <c r="C66" s="8"/>
      <c r="D66" s="5"/>
      <c r="E66" s="5"/>
      <c r="F66" s="6">
        <f t="shared" si="2"/>
        <v>0</v>
      </c>
      <c r="G66" s="7">
        <f t="shared" si="3"/>
        <v>0</v>
      </c>
    </row>
    <row r="67" spans="1:7">
      <c r="A67" s="8"/>
      <c r="B67" s="8"/>
      <c r="C67" s="8"/>
      <c r="D67" s="5"/>
      <c r="E67" s="5"/>
      <c r="F67" s="6">
        <f t="shared" si="2"/>
        <v>0</v>
      </c>
      <c r="G67" s="7">
        <f t="shared" si="3"/>
        <v>0</v>
      </c>
    </row>
    <row r="68" spans="1:7">
      <c r="A68" s="8"/>
      <c r="B68" s="8"/>
      <c r="C68" s="8"/>
      <c r="D68" s="5"/>
      <c r="E68" s="5"/>
      <c r="F68" s="6">
        <f t="shared" si="2"/>
        <v>0</v>
      </c>
      <c r="G68" s="7">
        <f t="shared" si="3"/>
        <v>0</v>
      </c>
    </row>
    <row r="69" spans="1:7">
      <c r="A69" s="8"/>
      <c r="B69" s="8"/>
      <c r="C69" s="8"/>
      <c r="D69" s="5"/>
      <c r="E69" s="5"/>
      <c r="F69" s="6">
        <f t="shared" si="2"/>
        <v>0</v>
      </c>
      <c r="G69" s="7">
        <f t="shared" si="3"/>
        <v>0</v>
      </c>
    </row>
    <row r="70" spans="1:7">
      <c r="A70" s="8"/>
      <c r="B70" s="8"/>
      <c r="C70" s="8"/>
      <c r="D70" s="5"/>
      <c r="E70" s="5"/>
      <c r="F70" s="6">
        <f t="shared" ref="F70:F101" si="4">IF(C70="مصروف",D70-E70,E70-D70)</f>
        <v>0</v>
      </c>
      <c r="G70" s="7">
        <f t="shared" ref="G70:G101" si="5">IFERROR(F70/D70,0)</f>
        <v>0</v>
      </c>
    </row>
    <row r="71" spans="1:7">
      <c r="A71" s="8"/>
      <c r="B71" s="8"/>
      <c r="C71" s="8"/>
      <c r="D71" s="5"/>
      <c r="E71" s="5"/>
      <c r="F71" s="6">
        <f t="shared" si="4"/>
        <v>0</v>
      </c>
      <c r="G71" s="7">
        <f t="shared" si="5"/>
        <v>0</v>
      </c>
    </row>
    <row r="72" spans="1:7">
      <c r="A72" s="8"/>
      <c r="B72" s="8"/>
      <c r="C72" s="8"/>
      <c r="D72" s="5"/>
      <c r="E72" s="5"/>
      <c r="F72" s="6">
        <f t="shared" si="4"/>
        <v>0</v>
      </c>
      <c r="G72" s="7">
        <f t="shared" si="5"/>
        <v>0</v>
      </c>
    </row>
    <row r="73" spans="1:7">
      <c r="A73" s="8"/>
      <c r="B73" s="8"/>
      <c r="C73" s="8"/>
      <c r="D73" s="5"/>
      <c r="E73" s="5"/>
      <c r="F73" s="6">
        <f t="shared" si="4"/>
        <v>0</v>
      </c>
      <c r="G73" s="7">
        <f t="shared" si="5"/>
        <v>0</v>
      </c>
    </row>
    <row r="74" spans="1:7">
      <c r="A74" s="8"/>
      <c r="B74" s="8"/>
      <c r="C74" s="8"/>
      <c r="D74" s="5"/>
      <c r="E74" s="5"/>
      <c r="F74" s="6">
        <f t="shared" si="4"/>
        <v>0</v>
      </c>
      <c r="G74" s="7">
        <f t="shared" si="5"/>
        <v>0</v>
      </c>
    </row>
    <row r="75" spans="1:7">
      <c r="A75" s="8"/>
      <c r="B75" s="8"/>
      <c r="C75" s="8"/>
      <c r="D75" s="5"/>
      <c r="E75" s="5"/>
      <c r="F75" s="6">
        <f t="shared" si="4"/>
        <v>0</v>
      </c>
      <c r="G75" s="7">
        <f t="shared" si="5"/>
        <v>0</v>
      </c>
    </row>
    <row r="76" spans="1:7">
      <c r="A76" s="8"/>
      <c r="B76" s="8"/>
      <c r="C76" s="8"/>
      <c r="D76" s="5"/>
      <c r="E76" s="5"/>
      <c r="F76" s="6">
        <f t="shared" si="4"/>
        <v>0</v>
      </c>
      <c r="G76" s="7">
        <f t="shared" si="5"/>
        <v>0</v>
      </c>
    </row>
    <row r="77" spans="1:7">
      <c r="A77" s="8"/>
      <c r="B77" s="8"/>
      <c r="C77" s="8"/>
      <c r="D77" s="5"/>
      <c r="E77" s="5"/>
      <c r="F77" s="6">
        <f t="shared" si="4"/>
        <v>0</v>
      </c>
      <c r="G77" s="7">
        <f t="shared" si="5"/>
        <v>0</v>
      </c>
    </row>
    <row r="78" spans="1:7">
      <c r="A78" s="8"/>
      <c r="B78" s="8"/>
      <c r="C78" s="8"/>
      <c r="D78" s="5"/>
      <c r="E78" s="5"/>
      <c r="F78" s="6">
        <f t="shared" si="4"/>
        <v>0</v>
      </c>
      <c r="G78" s="7">
        <f t="shared" si="5"/>
        <v>0</v>
      </c>
    </row>
    <row r="79" spans="1:7">
      <c r="A79" s="8"/>
      <c r="B79" s="8"/>
      <c r="C79" s="8"/>
      <c r="D79" s="5"/>
      <c r="E79" s="5"/>
      <c r="F79" s="6">
        <f t="shared" si="4"/>
        <v>0</v>
      </c>
      <c r="G79" s="7">
        <f t="shared" si="5"/>
        <v>0</v>
      </c>
    </row>
    <row r="80" spans="1:7">
      <c r="A80" s="8"/>
      <c r="B80" s="8"/>
      <c r="C80" s="8"/>
      <c r="D80" s="5"/>
      <c r="E80" s="5"/>
      <c r="F80" s="6">
        <f t="shared" si="4"/>
        <v>0</v>
      </c>
      <c r="G80" s="7">
        <f t="shared" si="5"/>
        <v>0</v>
      </c>
    </row>
    <row r="81" spans="1:7">
      <c r="A81" s="8"/>
      <c r="B81" s="8"/>
      <c r="C81" s="8"/>
      <c r="D81" s="5"/>
      <c r="E81" s="5"/>
      <c r="F81" s="6">
        <f t="shared" si="4"/>
        <v>0</v>
      </c>
      <c r="G81" s="7">
        <f t="shared" si="5"/>
        <v>0</v>
      </c>
    </row>
    <row r="82" spans="1:7">
      <c r="A82" s="8"/>
      <c r="B82" s="8"/>
      <c r="C82" s="8"/>
      <c r="D82" s="5"/>
      <c r="E82" s="5"/>
      <c r="F82" s="6">
        <f t="shared" si="4"/>
        <v>0</v>
      </c>
      <c r="G82" s="7">
        <f t="shared" si="5"/>
        <v>0</v>
      </c>
    </row>
    <row r="83" spans="1:7">
      <c r="A83" s="8"/>
      <c r="B83" s="8"/>
      <c r="C83" s="8"/>
      <c r="D83" s="5"/>
      <c r="E83" s="5"/>
      <c r="F83" s="6">
        <f t="shared" si="4"/>
        <v>0</v>
      </c>
      <c r="G83" s="7">
        <f t="shared" si="5"/>
        <v>0</v>
      </c>
    </row>
    <row r="84" spans="1:7">
      <c r="A84" s="8"/>
      <c r="B84" s="8"/>
      <c r="C84" s="8"/>
      <c r="D84" s="5"/>
      <c r="E84" s="5"/>
      <c r="F84" s="6">
        <f t="shared" si="4"/>
        <v>0</v>
      </c>
      <c r="G84" s="7">
        <f t="shared" si="5"/>
        <v>0</v>
      </c>
    </row>
    <row r="85" spans="1:7">
      <c r="A85" s="8"/>
      <c r="B85" s="8"/>
      <c r="C85" s="8"/>
      <c r="D85" s="5"/>
      <c r="E85" s="5"/>
      <c r="F85" s="6">
        <f t="shared" si="4"/>
        <v>0</v>
      </c>
      <c r="G85" s="7">
        <f t="shared" si="5"/>
        <v>0</v>
      </c>
    </row>
    <row r="86" spans="1:7">
      <c r="A86" s="8"/>
      <c r="B86" s="8"/>
      <c r="C86" s="8"/>
      <c r="D86" s="5"/>
      <c r="E86" s="5"/>
      <c r="F86" s="6">
        <f t="shared" si="4"/>
        <v>0</v>
      </c>
      <c r="G86" s="7">
        <f t="shared" si="5"/>
        <v>0</v>
      </c>
    </row>
    <row r="87" spans="1:7">
      <c r="A87" s="8"/>
      <c r="B87" s="8"/>
      <c r="C87" s="8"/>
      <c r="D87" s="5"/>
      <c r="E87" s="5"/>
      <c r="F87" s="6">
        <f t="shared" si="4"/>
        <v>0</v>
      </c>
      <c r="G87" s="7">
        <f t="shared" si="5"/>
        <v>0</v>
      </c>
    </row>
    <row r="88" spans="1:7">
      <c r="A88" s="8"/>
      <c r="B88" s="8"/>
      <c r="C88" s="8"/>
      <c r="D88" s="5"/>
      <c r="E88" s="5"/>
      <c r="F88" s="6">
        <f t="shared" si="4"/>
        <v>0</v>
      </c>
      <c r="G88" s="7">
        <f t="shared" si="5"/>
        <v>0</v>
      </c>
    </row>
    <row r="89" spans="1:7">
      <c r="A89" s="8"/>
      <c r="B89" s="8"/>
      <c r="C89" s="8"/>
      <c r="D89" s="5"/>
      <c r="E89" s="5"/>
      <c r="F89" s="6">
        <f t="shared" si="4"/>
        <v>0</v>
      </c>
      <c r="G89" s="7">
        <f t="shared" si="5"/>
        <v>0</v>
      </c>
    </row>
    <row r="90" spans="1:7">
      <c r="A90" s="8"/>
      <c r="B90" s="8"/>
      <c r="C90" s="8"/>
      <c r="D90" s="5"/>
      <c r="E90" s="5"/>
      <c r="F90" s="6">
        <f t="shared" si="4"/>
        <v>0</v>
      </c>
      <c r="G90" s="7">
        <f t="shared" si="5"/>
        <v>0</v>
      </c>
    </row>
    <row r="91" spans="1:7">
      <c r="A91" s="8"/>
      <c r="B91" s="8"/>
      <c r="C91" s="8"/>
      <c r="D91" s="5"/>
      <c r="E91" s="5"/>
      <c r="F91" s="6">
        <f t="shared" si="4"/>
        <v>0</v>
      </c>
      <c r="G91" s="7">
        <f t="shared" si="5"/>
        <v>0</v>
      </c>
    </row>
    <row r="92" spans="1:7">
      <c r="A92" s="8"/>
      <c r="B92" s="8"/>
      <c r="C92" s="8"/>
      <c r="D92" s="5"/>
      <c r="E92" s="5"/>
      <c r="F92" s="6">
        <f t="shared" si="4"/>
        <v>0</v>
      </c>
      <c r="G92" s="7">
        <f t="shared" si="5"/>
        <v>0</v>
      </c>
    </row>
    <row r="93" spans="1:7">
      <c r="A93" s="8"/>
      <c r="B93" s="8"/>
      <c r="C93" s="8"/>
      <c r="D93" s="5"/>
      <c r="E93" s="5"/>
      <c r="F93" s="6">
        <f t="shared" si="4"/>
        <v>0</v>
      </c>
      <c r="G93" s="7">
        <f t="shared" si="5"/>
        <v>0</v>
      </c>
    </row>
    <row r="94" spans="1:7">
      <c r="A94" s="8"/>
      <c r="B94" s="8"/>
      <c r="C94" s="8"/>
      <c r="D94" s="5"/>
      <c r="E94" s="5"/>
      <c r="F94" s="6">
        <f t="shared" si="4"/>
        <v>0</v>
      </c>
      <c r="G94" s="7">
        <f t="shared" si="5"/>
        <v>0</v>
      </c>
    </row>
    <row r="95" spans="1:7">
      <c r="A95" s="8"/>
      <c r="B95" s="8"/>
      <c r="C95" s="8"/>
      <c r="D95" s="5"/>
      <c r="E95" s="5"/>
      <c r="F95" s="6">
        <f t="shared" si="4"/>
        <v>0</v>
      </c>
      <c r="G95" s="7">
        <f t="shared" si="5"/>
        <v>0</v>
      </c>
    </row>
    <row r="96" spans="1:7">
      <c r="A96" s="8"/>
      <c r="B96" s="8"/>
      <c r="C96" s="8"/>
      <c r="D96" s="5"/>
      <c r="E96" s="5"/>
      <c r="F96" s="6">
        <f t="shared" si="4"/>
        <v>0</v>
      </c>
      <c r="G96" s="7">
        <f t="shared" si="5"/>
        <v>0</v>
      </c>
    </row>
    <row r="97" spans="1:7">
      <c r="A97" s="8"/>
      <c r="B97" s="8"/>
      <c r="C97" s="8"/>
      <c r="D97" s="5"/>
      <c r="E97" s="5"/>
      <c r="F97" s="6">
        <f t="shared" si="4"/>
        <v>0</v>
      </c>
      <c r="G97" s="7">
        <f t="shared" si="5"/>
        <v>0</v>
      </c>
    </row>
    <row r="98" spans="1:7">
      <c r="A98" s="8"/>
      <c r="B98" s="8"/>
      <c r="C98" s="8"/>
      <c r="D98" s="5"/>
      <c r="E98" s="5"/>
      <c r="F98" s="6">
        <f t="shared" si="4"/>
        <v>0</v>
      </c>
      <c r="G98" s="7">
        <f t="shared" si="5"/>
        <v>0</v>
      </c>
    </row>
    <row r="99" spans="1:7">
      <c r="A99" s="8"/>
      <c r="B99" s="8"/>
      <c r="C99" s="8"/>
      <c r="D99" s="5"/>
      <c r="E99" s="5"/>
      <c r="F99" s="6">
        <f t="shared" si="4"/>
        <v>0</v>
      </c>
      <c r="G99" s="7">
        <f t="shared" si="5"/>
        <v>0</v>
      </c>
    </row>
    <row r="100" spans="1:7">
      <c r="A100" s="8"/>
      <c r="B100" s="8"/>
      <c r="C100" s="8"/>
      <c r="D100" s="5"/>
      <c r="E100" s="5"/>
      <c r="F100" s="6">
        <f t="shared" si="4"/>
        <v>0</v>
      </c>
      <c r="G100" s="7">
        <f t="shared" si="5"/>
        <v>0</v>
      </c>
    </row>
    <row r="101" spans="1:7">
      <c r="A101" s="8"/>
      <c r="B101" s="8"/>
      <c r="C101" s="8"/>
      <c r="D101" s="5"/>
      <c r="E101" s="5"/>
      <c r="F101" s="6">
        <f t="shared" si="4"/>
        <v>0</v>
      </c>
      <c r="G101" s="7">
        <f t="shared" si="5"/>
        <v>0</v>
      </c>
    </row>
    <row r="102" spans="1:7">
      <c r="A102" s="8"/>
      <c r="B102" s="8"/>
      <c r="C102" s="8"/>
      <c r="D102" s="5"/>
      <c r="E102" s="5"/>
      <c r="F102" s="6">
        <f t="shared" ref="F102:F133" si="6">IF(C102="مصروف",D102-E102,E102-D102)</f>
        <v>0</v>
      </c>
      <c r="G102" s="7">
        <f t="shared" ref="G102:G133" si="7">IFERROR(F102/D102,0)</f>
        <v>0</v>
      </c>
    </row>
    <row r="103" spans="1:7">
      <c r="A103" s="8"/>
      <c r="B103" s="8"/>
      <c r="C103" s="8"/>
      <c r="D103" s="5"/>
      <c r="E103" s="5"/>
      <c r="F103" s="6">
        <f t="shared" si="6"/>
        <v>0</v>
      </c>
      <c r="G103" s="7">
        <f t="shared" si="7"/>
        <v>0</v>
      </c>
    </row>
    <row r="104" spans="1:7">
      <c r="A104" s="8"/>
      <c r="B104" s="8"/>
      <c r="C104" s="8"/>
      <c r="D104" s="5"/>
      <c r="E104" s="5"/>
      <c r="F104" s="6">
        <f t="shared" si="6"/>
        <v>0</v>
      </c>
      <c r="G104" s="7">
        <f t="shared" si="7"/>
        <v>0</v>
      </c>
    </row>
    <row r="105" spans="1:7">
      <c r="A105" s="8"/>
      <c r="B105" s="8"/>
      <c r="C105" s="8"/>
      <c r="D105" s="5"/>
      <c r="E105" s="5"/>
      <c r="F105" s="6">
        <f t="shared" si="6"/>
        <v>0</v>
      </c>
      <c r="G105" s="7">
        <f t="shared" si="7"/>
        <v>0</v>
      </c>
    </row>
    <row r="106" spans="1:7">
      <c r="A106" s="8"/>
      <c r="B106" s="8"/>
      <c r="C106" s="8"/>
      <c r="D106" s="5"/>
      <c r="E106" s="5"/>
      <c r="F106" s="6">
        <f t="shared" si="6"/>
        <v>0</v>
      </c>
      <c r="G106" s="7">
        <f t="shared" si="7"/>
        <v>0</v>
      </c>
    </row>
    <row r="107" spans="1:7">
      <c r="A107" s="8"/>
      <c r="B107" s="8"/>
      <c r="C107" s="8"/>
      <c r="D107" s="5"/>
      <c r="E107" s="5"/>
      <c r="F107" s="6">
        <f t="shared" si="6"/>
        <v>0</v>
      </c>
      <c r="G107" s="7">
        <f t="shared" si="7"/>
        <v>0</v>
      </c>
    </row>
    <row r="108" spans="1:7">
      <c r="A108" s="8"/>
      <c r="B108" s="8"/>
      <c r="C108" s="8"/>
      <c r="D108" s="5"/>
      <c r="E108" s="5"/>
      <c r="F108" s="6">
        <f t="shared" si="6"/>
        <v>0</v>
      </c>
      <c r="G108" s="7">
        <f t="shared" si="7"/>
        <v>0</v>
      </c>
    </row>
    <row r="109" spans="1:7">
      <c r="A109" s="8"/>
      <c r="B109" s="8"/>
      <c r="C109" s="8"/>
      <c r="D109" s="5"/>
      <c r="E109" s="5"/>
      <c r="F109" s="6">
        <f t="shared" si="6"/>
        <v>0</v>
      </c>
      <c r="G109" s="7">
        <f t="shared" si="7"/>
        <v>0</v>
      </c>
    </row>
    <row r="110" spans="1:7">
      <c r="A110" s="8"/>
      <c r="B110" s="8"/>
      <c r="C110" s="8"/>
      <c r="D110" s="5"/>
      <c r="E110" s="5"/>
      <c r="F110" s="6">
        <f t="shared" si="6"/>
        <v>0</v>
      </c>
      <c r="G110" s="7">
        <f t="shared" si="7"/>
        <v>0</v>
      </c>
    </row>
    <row r="111" spans="1:7">
      <c r="A111" s="8"/>
      <c r="B111" s="8"/>
      <c r="C111" s="8"/>
      <c r="D111" s="5"/>
      <c r="E111" s="5"/>
      <c r="F111" s="6">
        <f t="shared" si="6"/>
        <v>0</v>
      </c>
      <c r="G111" s="7">
        <f t="shared" si="7"/>
        <v>0</v>
      </c>
    </row>
    <row r="112" spans="1:7">
      <c r="A112" s="8"/>
      <c r="B112" s="8"/>
      <c r="C112" s="8"/>
      <c r="D112" s="5"/>
      <c r="E112" s="5"/>
      <c r="F112" s="6">
        <f t="shared" si="6"/>
        <v>0</v>
      </c>
      <c r="G112" s="7">
        <f t="shared" si="7"/>
        <v>0</v>
      </c>
    </row>
    <row r="113" spans="1:7">
      <c r="A113" s="8"/>
      <c r="B113" s="8"/>
      <c r="C113" s="8"/>
      <c r="D113" s="5"/>
      <c r="E113" s="5"/>
      <c r="F113" s="6">
        <f t="shared" si="6"/>
        <v>0</v>
      </c>
      <c r="G113" s="7">
        <f t="shared" si="7"/>
        <v>0</v>
      </c>
    </row>
    <row r="114" spans="1:7">
      <c r="A114" s="8"/>
      <c r="B114" s="8"/>
      <c r="C114" s="8"/>
      <c r="D114" s="5"/>
      <c r="E114" s="5"/>
      <c r="F114" s="6">
        <f t="shared" si="6"/>
        <v>0</v>
      </c>
      <c r="G114" s="7">
        <f t="shared" si="7"/>
        <v>0</v>
      </c>
    </row>
    <row r="115" spans="1:7">
      <c r="A115" s="8"/>
      <c r="B115" s="8"/>
      <c r="C115" s="8"/>
      <c r="D115" s="5"/>
      <c r="E115" s="5"/>
      <c r="F115" s="6">
        <f t="shared" si="6"/>
        <v>0</v>
      </c>
      <c r="G115" s="7">
        <f t="shared" si="7"/>
        <v>0</v>
      </c>
    </row>
    <row r="116" spans="1:7">
      <c r="A116" s="8"/>
      <c r="B116" s="8"/>
      <c r="C116" s="8"/>
      <c r="D116" s="5"/>
      <c r="E116" s="5"/>
      <c r="F116" s="6">
        <f t="shared" si="6"/>
        <v>0</v>
      </c>
      <c r="G116" s="7">
        <f t="shared" si="7"/>
        <v>0</v>
      </c>
    </row>
    <row r="117" spans="1:7">
      <c r="A117" s="8"/>
      <c r="B117" s="8"/>
      <c r="C117" s="8"/>
      <c r="D117" s="5"/>
      <c r="E117" s="5"/>
      <c r="F117" s="6">
        <f t="shared" si="6"/>
        <v>0</v>
      </c>
      <c r="G117" s="7">
        <f t="shared" si="7"/>
        <v>0</v>
      </c>
    </row>
    <row r="118" spans="1:7">
      <c r="A118" s="8"/>
      <c r="B118" s="8"/>
      <c r="C118" s="8"/>
      <c r="D118" s="5"/>
      <c r="E118" s="5"/>
      <c r="F118" s="6">
        <f t="shared" si="6"/>
        <v>0</v>
      </c>
      <c r="G118" s="7">
        <f t="shared" si="7"/>
        <v>0</v>
      </c>
    </row>
    <row r="119" spans="1:7">
      <c r="A119" s="8"/>
      <c r="B119" s="8"/>
      <c r="C119" s="8"/>
      <c r="D119" s="5"/>
      <c r="E119" s="5"/>
      <c r="F119" s="6">
        <f t="shared" si="6"/>
        <v>0</v>
      </c>
      <c r="G119" s="7">
        <f t="shared" si="7"/>
        <v>0</v>
      </c>
    </row>
    <row r="120" spans="1:7">
      <c r="A120" s="8"/>
      <c r="B120" s="8"/>
      <c r="C120" s="8"/>
      <c r="D120" s="5"/>
      <c r="E120" s="5"/>
      <c r="F120" s="6">
        <f t="shared" si="6"/>
        <v>0</v>
      </c>
      <c r="G120" s="7">
        <f t="shared" si="7"/>
        <v>0</v>
      </c>
    </row>
    <row r="121" spans="1:7">
      <c r="A121" s="8"/>
      <c r="B121" s="8"/>
      <c r="C121" s="8"/>
      <c r="D121" s="5"/>
      <c r="E121" s="5"/>
      <c r="F121" s="6">
        <f t="shared" si="6"/>
        <v>0</v>
      </c>
      <c r="G121" s="7">
        <f t="shared" si="7"/>
        <v>0</v>
      </c>
    </row>
    <row r="122" spans="1:7">
      <c r="A122" s="8"/>
      <c r="B122" s="8"/>
      <c r="C122" s="8"/>
      <c r="D122" s="5"/>
      <c r="E122" s="5"/>
      <c r="F122" s="6">
        <f t="shared" si="6"/>
        <v>0</v>
      </c>
      <c r="G122" s="7">
        <f t="shared" si="7"/>
        <v>0</v>
      </c>
    </row>
    <row r="123" spans="1:7">
      <c r="A123" s="8"/>
      <c r="B123" s="8"/>
      <c r="C123" s="8"/>
      <c r="D123" s="5"/>
      <c r="E123" s="5"/>
      <c r="F123" s="6">
        <f t="shared" si="6"/>
        <v>0</v>
      </c>
      <c r="G123" s="7">
        <f t="shared" si="7"/>
        <v>0</v>
      </c>
    </row>
    <row r="124" spans="1:7">
      <c r="A124" s="8"/>
      <c r="B124" s="8"/>
      <c r="C124" s="8"/>
      <c r="D124" s="5"/>
      <c r="E124" s="5"/>
      <c r="F124" s="6">
        <f t="shared" si="6"/>
        <v>0</v>
      </c>
      <c r="G124" s="7">
        <f t="shared" si="7"/>
        <v>0</v>
      </c>
    </row>
    <row r="125" spans="1:7">
      <c r="A125" s="8"/>
      <c r="B125" s="8"/>
      <c r="C125" s="8"/>
      <c r="D125" s="5"/>
      <c r="E125" s="5"/>
      <c r="F125" s="6">
        <f t="shared" si="6"/>
        <v>0</v>
      </c>
      <c r="G125" s="7">
        <f t="shared" si="7"/>
        <v>0</v>
      </c>
    </row>
    <row r="126" spans="1:7">
      <c r="A126" s="8"/>
      <c r="B126" s="8"/>
      <c r="C126" s="8"/>
      <c r="D126" s="5"/>
      <c r="E126" s="5"/>
      <c r="F126" s="6">
        <f t="shared" si="6"/>
        <v>0</v>
      </c>
      <c r="G126" s="7">
        <f t="shared" si="7"/>
        <v>0</v>
      </c>
    </row>
    <row r="127" spans="1:7">
      <c r="A127" s="8"/>
      <c r="B127" s="8"/>
      <c r="C127" s="8"/>
      <c r="D127" s="5"/>
      <c r="E127" s="5"/>
      <c r="F127" s="6">
        <f t="shared" si="6"/>
        <v>0</v>
      </c>
      <c r="G127" s="7">
        <f t="shared" si="7"/>
        <v>0</v>
      </c>
    </row>
    <row r="128" spans="1:7">
      <c r="A128" s="8"/>
      <c r="B128" s="8"/>
      <c r="C128" s="8"/>
      <c r="D128" s="5"/>
      <c r="E128" s="5"/>
      <c r="F128" s="6">
        <f t="shared" si="6"/>
        <v>0</v>
      </c>
      <c r="G128" s="7">
        <f t="shared" si="7"/>
        <v>0</v>
      </c>
    </row>
    <row r="129" spans="1:7">
      <c r="A129" s="8"/>
      <c r="B129" s="8"/>
      <c r="C129" s="8"/>
      <c r="D129" s="5"/>
      <c r="E129" s="5"/>
      <c r="F129" s="6">
        <f t="shared" si="6"/>
        <v>0</v>
      </c>
      <c r="G129" s="7">
        <f t="shared" si="7"/>
        <v>0</v>
      </c>
    </row>
    <row r="130" spans="1:7">
      <c r="A130" s="8"/>
      <c r="B130" s="8"/>
      <c r="C130" s="8"/>
      <c r="D130" s="5"/>
      <c r="E130" s="5"/>
      <c r="F130" s="6">
        <f t="shared" si="6"/>
        <v>0</v>
      </c>
      <c r="G130" s="7">
        <f t="shared" si="7"/>
        <v>0</v>
      </c>
    </row>
    <row r="131" spans="1:7">
      <c r="A131" s="8"/>
      <c r="B131" s="8"/>
      <c r="C131" s="8"/>
      <c r="D131" s="5"/>
      <c r="E131" s="5"/>
      <c r="F131" s="6">
        <f t="shared" si="6"/>
        <v>0</v>
      </c>
      <c r="G131" s="7">
        <f t="shared" si="7"/>
        <v>0</v>
      </c>
    </row>
    <row r="132" spans="1:7">
      <c r="A132" s="8"/>
      <c r="B132" s="8"/>
      <c r="C132" s="8"/>
      <c r="D132" s="5"/>
      <c r="E132" s="5"/>
      <c r="F132" s="6">
        <f t="shared" si="6"/>
        <v>0</v>
      </c>
      <c r="G132" s="7">
        <f t="shared" si="7"/>
        <v>0</v>
      </c>
    </row>
    <row r="133" spans="1:7">
      <c r="A133" s="8"/>
      <c r="B133" s="8"/>
      <c r="C133" s="8"/>
      <c r="D133" s="5"/>
      <c r="E133" s="5"/>
      <c r="F133" s="6">
        <f t="shared" si="6"/>
        <v>0</v>
      </c>
      <c r="G133" s="7">
        <f t="shared" si="7"/>
        <v>0</v>
      </c>
    </row>
    <row r="134" spans="1:7">
      <c r="A134" s="8"/>
      <c r="B134" s="8"/>
      <c r="C134" s="8"/>
      <c r="D134" s="5"/>
      <c r="E134" s="5"/>
      <c r="F134" s="6">
        <f t="shared" ref="F134:F165" si="8">IF(C134="مصروف",D134-E134,E134-D134)</f>
        <v>0</v>
      </c>
      <c r="G134" s="7">
        <f t="shared" ref="G134:G165" si="9">IFERROR(F134/D134,0)</f>
        <v>0</v>
      </c>
    </row>
    <row r="135" spans="1:7">
      <c r="A135" s="8"/>
      <c r="B135" s="8"/>
      <c r="C135" s="8"/>
      <c r="D135" s="5"/>
      <c r="E135" s="5"/>
      <c r="F135" s="6">
        <f t="shared" si="8"/>
        <v>0</v>
      </c>
      <c r="G135" s="7">
        <f t="shared" si="9"/>
        <v>0</v>
      </c>
    </row>
    <row r="136" spans="1:7">
      <c r="A136" s="8"/>
      <c r="B136" s="8"/>
      <c r="C136" s="8"/>
      <c r="D136" s="5"/>
      <c r="E136" s="5"/>
      <c r="F136" s="6">
        <f t="shared" si="8"/>
        <v>0</v>
      </c>
      <c r="G136" s="7">
        <f t="shared" si="9"/>
        <v>0</v>
      </c>
    </row>
    <row r="137" spans="1:7">
      <c r="A137" s="8"/>
      <c r="B137" s="8"/>
      <c r="C137" s="8"/>
      <c r="D137" s="5"/>
      <c r="E137" s="5"/>
      <c r="F137" s="6">
        <f t="shared" si="8"/>
        <v>0</v>
      </c>
      <c r="G137" s="7">
        <f t="shared" si="9"/>
        <v>0</v>
      </c>
    </row>
    <row r="138" spans="1:7">
      <c r="A138" s="8"/>
      <c r="B138" s="8"/>
      <c r="C138" s="8"/>
      <c r="D138" s="5"/>
      <c r="E138" s="5"/>
      <c r="F138" s="6">
        <f t="shared" si="8"/>
        <v>0</v>
      </c>
      <c r="G138" s="7">
        <f t="shared" si="9"/>
        <v>0</v>
      </c>
    </row>
    <row r="139" spans="1:7">
      <c r="A139" s="8"/>
      <c r="B139" s="8"/>
      <c r="C139" s="8"/>
      <c r="D139" s="5"/>
      <c r="E139" s="5"/>
      <c r="F139" s="6">
        <f t="shared" si="8"/>
        <v>0</v>
      </c>
      <c r="G139" s="7">
        <f t="shared" si="9"/>
        <v>0</v>
      </c>
    </row>
    <row r="140" spans="1:7">
      <c r="A140" s="8"/>
      <c r="B140" s="8"/>
      <c r="C140" s="8"/>
      <c r="D140" s="5"/>
      <c r="E140" s="5"/>
      <c r="F140" s="6">
        <f t="shared" si="8"/>
        <v>0</v>
      </c>
      <c r="G140" s="7">
        <f t="shared" si="9"/>
        <v>0</v>
      </c>
    </row>
    <row r="141" spans="1:7">
      <c r="A141" s="8"/>
      <c r="B141" s="8"/>
      <c r="C141" s="8"/>
      <c r="D141" s="5"/>
      <c r="E141" s="5"/>
      <c r="F141" s="6">
        <f t="shared" si="8"/>
        <v>0</v>
      </c>
      <c r="G141" s="7">
        <f t="shared" si="9"/>
        <v>0</v>
      </c>
    </row>
    <row r="142" spans="1:7">
      <c r="A142" s="8"/>
      <c r="B142" s="8"/>
      <c r="C142" s="8"/>
      <c r="D142" s="5"/>
      <c r="E142" s="5"/>
      <c r="F142" s="6">
        <f t="shared" si="8"/>
        <v>0</v>
      </c>
      <c r="G142" s="7">
        <f t="shared" si="9"/>
        <v>0</v>
      </c>
    </row>
    <row r="143" spans="1:7">
      <c r="A143" s="8"/>
      <c r="B143" s="8"/>
      <c r="C143" s="8"/>
      <c r="D143" s="5"/>
      <c r="E143" s="5"/>
      <c r="F143" s="6">
        <f t="shared" si="8"/>
        <v>0</v>
      </c>
      <c r="G143" s="7">
        <f t="shared" si="9"/>
        <v>0</v>
      </c>
    </row>
    <row r="144" spans="1:7">
      <c r="A144" s="8"/>
      <c r="B144" s="8"/>
      <c r="C144" s="8"/>
      <c r="D144" s="5"/>
      <c r="E144" s="5"/>
      <c r="F144" s="6">
        <f t="shared" si="8"/>
        <v>0</v>
      </c>
      <c r="G144" s="7">
        <f t="shared" si="9"/>
        <v>0</v>
      </c>
    </row>
    <row r="145" spans="1:7">
      <c r="A145" s="8"/>
      <c r="B145" s="8"/>
      <c r="C145" s="8"/>
      <c r="D145" s="5"/>
      <c r="E145" s="5"/>
      <c r="F145" s="6">
        <f t="shared" si="8"/>
        <v>0</v>
      </c>
      <c r="G145" s="7">
        <f t="shared" si="9"/>
        <v>0</v>
      </c>
    </row>
    <row r="146" spans="1:7">
      <c r="A146" s="8"/>
      <c r="B146" s="8"/>
      <c r="C146" s="8"/>
      <c r="D146" s="5"/>
      <c r="E146" s="5"/>
      <c r="F146" s="6">
        <f t="shared" si="8"/>
        <v>0</v>
      </c>
      <c r="G146" s="7">
        <f t="shared" si="9"/>
        <v>0</v>
      </c>
    </row>
    <row r="147" spans="1:7">
      <c r="A147" s="8"/>
      <c r="B147" s="8"/>
      <c r="C147" s="8"/>
      <c r="D147" s="5"/>
      <c r="E147" s="5"/>
      <c r="F147" s="6">
        <f t="shared" si="8"/>
        <v>0</v>
      </c>
      <c r="G147" s="7">
        <f t="shared" si="9"/>
        <v>0</v>
      </c>
    </row>
    <row r="148" spans="1:7">
      <c r="A148" s="8"/>
      <c r="B148" s="8"/>
      <c r="C148" s="8"/>
      <c r="D148" s="5"/>
      <c r="E148" s="5"/>
      <c r="F148" s="6">
        <f t="shared" si="8"/>
        <v>0</v>
      </c>
      <c r="G148" s="7">
        <f t="shared" si="9"/>
        <v>0</v>
      </c>
    </row>
    <row r="149" spans="1:7">
      <c r="A149" s="8"/>
      <c r="B149" s="8"/>
      <c r="C149" s="8"/>
      <c r="D149" s="5"/>
      <c r="E149" s="5"/>
      <c r="F149" s="6">
        <f t="shared" si="8"/>
        <v>0</v>
      </c>
      <c r="G149" s="7">
        <f t="shared" si="9"/>
        <v>0</v>
      </c>
    </row>
    <row r="150" spans="1:7">
      <c r="A150" s="8"/>
      <c r="B150" s="8"/>
      <c r="C150" s="8"/>
      <c r="D150" s="5"/>
      <c r="E150" s="5"/>
      <c r="F150" s="6">
        <f t="shared" si="8"/>
        <v>0</v>
      </c>
      <c r="G150" s="7">
        <f t="shared" si="9"/>
        <v>0</v>
      </c>
    </row>
    <row r="151" spans="1:7">
      <c r="A151" s="8"/>
      <c r="B151" s="8"/>
      <c r="C151" s="8"/>
      <c r="D151" s="5"/>
      <c r="E151" s="5"/>
      <c r="F151" s="6">
        <f t="shared" si="8"/>
        <v>0</v>
      </c>
      <c r="G151" s="7">
        <f t="shared" si="9"/>
        <v>0</v>
      </c>
    </row>
    <row r="152" spans="1:7">
      <c r="A152" s="8"/>
      <c r="B152" s="8"/>
      <c r="C152" s="8"/>
      <c r="D152" s="5"/>
      <c r="E152" s="5"/>
      <c r="F152" s="6">
        <f t="shared" si="8"/>
        <v>0</v>
      </c>
      <c r="G152" s="7">
        <f t="shared" si="9"/>
        <v>0</v>
      </c>
    </row>
    <row r="153" spans="1:7">
      <c r="A153" s="8"/>
      <c r="B153" s="8"/>
      <c r="C153" s="8"/>
      <c r="D153" s="5"/>
      <c r="E153" s="5"/>
      <c r="F153" s="6">
        <f t="shared" si="8"/>
        <v>0</v>
      </c>
      <c r="G153" s="7">
        <f t="shared" si="9"/>
        <v>0</v>
      </c>
    </row>
    <row r="154" spans="1:7">
      <c r="A154" s="8"/>
      <c r="B154" s="8"/>
      <c r="C154" s="8"/>
      <c r="D154" s="5"/>
      <c r="E154" s="5"/>
      <c r="F154" s="6">
        <f t="shared" si="8"/>
        <v>0</v>
      </c>
      <c r="G154" s="7">
        <f t="shared" si="9"/>
        <v>0</v>
      </c>
    </row>
    <row r="155" spans="1:7">
      <c r="A155" s="8"/>
      <c r="B155" s="8"/>
      <c r="C155" s="8"/>
      <c r="D155" s="5"/>
      <c r="E155" s="5"/>
      <c r="F155" s="6">
        <f t="shared" si="8"/>
        <v>0</v>
      </c>
      <c r="G155" s="7">
        <f t="shared" si="9"/>
        <v>0</v>
      </c>
    </row>
    <row r="156" spans="1:7">
      <c r="A156" s="8"/>
      <c r="B156" s="8"/>
      <c r="C156" s="8"/>
      <c r="D156" s="5"/>
      <c r="E156" s="5"/>
      <c r="F156" s="6">
        <f t="shared" si="8"/>
        <v>0</v>
      </c>
      <c r="G156" s="7">
        <f t="shared" si="9"/>
        <v>0</v>
      </c>
    </row>
    <row r="157" spans="1:7">
      <c r="A157" s="8"/>
      <c r="B157" s="8"/>
      <c r="C157" s="8"/>
      <c r="D157" s="5"/>
      <c r="E157" s="5"/>
      <c r="F157" s="6">
        <f t="shared" si="8"/>
        <v>0</v>
      </c>
      <c r="G157" s="7">
        <f t="shared" si="9"/>
        <v>0</v>
      </c>
    </row>
    <row r="158" spans="1:7">
      <c r="A158" s="8"/>
      <c r="B158" s="8"/>
      <c r="C158" s="8"/>
      <c r="D158" s="5"/>
      <c r="E158" s="5"/>
      <c r="F158" s="6">
        <f t="shared" si="8"/>
        <v>0</v>
      </c>
      <c r="G158" s="7">
        <f t="shared" si="9"/>
        <v>0</v>
      </c>
    </row>
    <row r="159" spans="1:7">
      <c r="A159" s="8"/>
      <c r="B159" s="8"/>
      <c r="C159" s="8"/>
      <c r="D159" s="5"/>
      <c r="E159" s="5"/>
      <c r="F159" s="6">
        <f t="shared" si="8"/>
        <v>0</v>
      </c>
      <c r="G159" s="7">
        <f t="shared" si="9"/>
        <v>0</v>
      </c>
    </row>
    <row r="160" spans="1:7">
      <c r="A160" s="8"/>
      <c r="B160" s="8"/>
      <c r="C160" s="8"/>
      <c r="D160" s="5"/>
      <c r="E160" s="5"/>
      <c r="F160" s="6">
        <f t="shared" si="8"/>
        <v>0</v>
      </c>
      <c r="G160" s="7">
        <f t="shared" si="9"/>
        <v>0</v>
      </c>
    </row>
    <row r="161" spans="1:7">
      <c r="A161" s="8"/>
      <c r="B161" s="8"/>
      <c r="C161" s="8"/>
      <c r="D161" s="5"/>
      <c r="E161" s="5"/>
      <c r="F161" s="6">
        <f t="shared" si="8"/>
        <v>0</v>
      </c>
      <c r="G161" s="7">
        <f t="shared" si="9"/>
        <v>0</v>
      </c>
    </row>
    <row r="162" spans="1:7">
      <c r="A162" s="8"/>
      <c r="B162" s="8"/>
      <c r="C162" s="8"/>
      <c r="D162" s="5"/>
      <c r="E162" s="5"/>
      <c r="F162" s="6">
        <f t="shared" si="8"/>
        <v>0</v>
      </c>
      <c r="G162" s="7">
        <f t="shared" si="9"/>
        <v>0</v>
      </c>
    </row>
    <row r="163" spans="1:7">
      <c r="A163" s="8"/>
      <c r="B163" s="8"/>
      <c r="C163" s="8"/>
      <c r="D163" s="5"/>
      <c r="E163" s="5"/>
      <c r="F163" s="6">
        <f t="shared" si="8"/>
        <v>0</v>
      </c>
      <c r="G163" s="7">
        <f t="shared" si="9"/>
        <v>0</v>
      </c>
    </row>
    <row r="164" spans="1:7">
      <c r="A164" s="8"/>
      <c r="B164" s="8"/>
      <c r="C164" s="8"/>
      <c r="D164" s="5"/>
      <c r="E164" s="5"/>
      <c r="F164" s="6">
        <f t="shared" si="8"/>
        <v>0</v>
      </c>
      <c r="G164" s="7">
        <f t="shared" si="9"/>
        <v>0</v>
      </c>
    </row>
    <row r="165" spans="1:7">
      <c r="A165" s="8"/>
      <c r="B165" s="8"/>
      <c r="C165" s="8"/>
      <c r="D165" s="5"/>
      <c r="E165" s="5"/>
      <c r="F165" s="6">
        <f t="shared" si="8"/>
        <v>0</v>
      </c>
      <c r="G165" s="7">
        <f t="shared" si="9"/>
        <v>0</v>
      </c>
    </row>
    <row r="166" spans="1:7">
      <c r="A166" s="8"/>
      <c r="B166" s="8"/>
      <c r="C166" s="8"/>
      <c r="D166" s="5"/>
      <c r="E166" s="5"/>
      <c r="F166" s="6">
        <f t="shared" ref="F166:F197" si="10">IF(C166="مصروف",D166-E166,E166-D166)</f>
        <v>0</v>
      </c>
      <c r="G166" s="7">
        <f t="shared" ref="G166:G197" si="11">IFERROR(F166/D166,0)</f>
        <v>0</v>
      </c>
    </row>
    <row r="167" spans="1:7">
      <c r="A167" s="8"/>
      <c r="B167" s="8"/>
      <c r="C167" s="8"/>
      <c r="D167" s="5"/>
      <c r="E167" s="5"/>
      <c r="F167" s="6">
        <f t="shared" si="10"/>
        <v>0</v>
      </c>
      <c r="G167" s="7">
        <f t="shared" si="11"/>
        <v>0</v>
      </c>
    </row>
    <row r="168" spans="1:7">
      <c r="A168" s="8"/>
      <c r="B168" s="8"/>
      <c r="C168" s="8"/>
      <c r="D168" s="5"/>
      <c r="E168" s="5"/>
      <c r="F168" s="6">
        <f t="shared" si="10"/>
        <v>0</v>
      </c>
      <c r="G168" s="7">
        <f t="shared" si="11"/>
        <v>0</v>
      </c>
    </row>
    <row r="169" spans="1:7">
      <c r="A169" s="8"/>
      <c r="B169" s="8"/>
      <c r="C169" s="8"/>
      <c r="D169" s="5"/>
      <c r="E169" s="5"/>
      <c r="F169" s="6">
        <f t="shared" si="10"/>
        <v>0</v>
      </c>
      <c r="G169" s="7">
        <f t="shared" si="11"/>
        <v>0</v>
      </c>
    </row>
    <row r="170" spans="1:7">
      <c r="A170" s="8"/>
      <c r="B170" s="8"/>
      <c r="C170" s="8"/>
      <c r="D170" s="5"/>
      <c r="E170" s="5"/>
      <c r="F170" s="6">
        <f t="shared" si="10"/>
        <v>0</v>
      </c>
      <c r="G170" s="7">
        <f t="shared" si="11"/>
        <v>0</v>
      </c>
    </row>
    <row r="171" spans="1:7">
      <c r="A171" s="8"/>
      <c r="B171" s="8"/>
      <c r="C171" s="8"/>
      <c r="D171" s="5"/>
      <c r="E171" s="5"/>
      <c r="F171" s="6">
        <f t="shared" si="10"/>
        <v>0</v>
      </c>
      <c r="G171" s="7">
        <f t="shared" si="11"/>
        <v>0</v>
      </c>
    </row>
    <row r="172" spans="1:7">
      <c r="A172" s="8"/>
      <c r="B172" s="8"/>
      <c r="C172" s="8"/>
      <c r="D172" s="5"/>
      <c r="E172" s="5"/>
      <c r="F172" s="6">
        <f t="shared" si="10"/>
        <v>0</v>
      </c>
      <c r="G172" s="7">
        <f t="shared" si="11"/>
        <v>0</v>
      </c>
    </row>
    <row r="173" spans="1:7">
      <c r="A173" s="8"/>
      <c r="B173" s="8"/>
      <c r="C173" s="8"/>
      <c r="D173" s="5"/>
      <c r="E173" s="5"/>
      <c r="F173" s="6">
        <f t="shared" si="10"/>
        <v>0</v>
      </c>
      <c r="G173" s="7">
        <f t="shared" si="11"/>
        <v>0</v>
      </c>
    </row>
    <row r="174" spans="1:7">
      <c r="A174" s="8"/>
      <c r="B174" s="8"/>
      <c r="C174" s="8"/>
      <c r="D174" s="5"/>
      <c r="E174" s="5"/>
      <c r="F174" s="6">
        <f t="shared" si="10"/>
        <v>0</v>
      </c>
      <c r="G174" s="7">
        <f t="shared" si="11"/>
        <v>0</v>
      </c>
    </row>
    <row r="175" spans="1:7">
      <c r="A175" s="8"/>
      <c r="B175" s="8"/>
      <c r="C175" s="8"/>
      <c r="D175" s="5"/>
      <c r="E175" s="5"/>
      <c r="F175" s="6">
        <f t="shared" si="10"/>
        <v>0</v>
      </c>
      <c r="G175" s="7">
        <f t="shared" si="11"/>
        <v>0</v>
      </c>
    </row>
    <row r="176" spans="1:7">
      <c r="A176" s="8"/>
      <c r="B176" s="8"/>
      <c r="C176" s="8"/>
      <c r="D176" s="5"/>
      <c r="E176" s="5"/>
      <c r="F176" s="6">
        <f t="shared" si="10"/>
        <v>0</v>
      </c>
      <c r="G176" s="7">
        <f t="shared" si="11"/>
        <v>0</v>
      </c>
    </row>
    <row r="177" spans="1:7">
      <c r="A177" s="8"/>
      <c r="B177" s="8"/>
      <c r="C177" s="8"/>
      <c r="D177" s="5"/>
      <c r="E177" s="5"/>
      <c r="F177" s="6">
        <f t="shared" si="10"/>
        <v>0</v>
      </c>
      <c r="G177" s="7">
        <f t="shared" si="11"/>
        <v>0</v>
      </c>
    </row>
    <row r="178" spans="1:7">
      <c r="A178" s="8"/>
      <c r="B178" s="8"/>
      <c r="C178" s="8"/>
      <c r="D178" s="5"/>
      <c r="E178" s="5"/>
      <c r="F178" s="6">
        <f t="shared" si="10"/>
        <v>0</v>
      </c>
      <c r="G178" s="7">
        <f t="shared" si="11"/>
        <v>0</v>
      </c>
    </row>
    <row r="179" spans="1:7">
      <c r="A179" s="8"/>
      <c r="B179" s="8"/>
      <c r="C179" s="8"/>
      <c r="D179" s="5"/>
      <c r="E179" s="5"/>
      <c r="F179" s="6">
        <f t="shared" si="10"/>
        <v>0</v>
      </c>
      <c r="G179" s="7">
        <f t="shared" si="11"/>
        <v>0</v>
      </c>
    </row>
    <row r="180" spans="1:7">
      <c r="A180" s="8"/>
      <c r="B180" s="8"/>
      <c r="C180" s="8"/>
      <c r="D180" s="5"/>
      <c r="E180" s="5"/>
      <c r="F180" s="6">
        <f t="shared" si="10"/>
        <v>0</v>
      </c>
      <c r="G180" s="7">
        <f t="shared" si="11"/>
        <v>0</v>
      </c>
    </row>
    <row r="181" spans="1:7">
      <c r="A181" s="8"/>
      <c r="B181" s="8"/>
      <c r="C181" s="8"/>
      <c r="D181" s="5"/>
      <c r="E181" s="5"/>
      <c r="F181" s="6">
        <f t="shared" si="10"/>
        <v>0</v>
      </c>
      <c r="G181" s="7">
        <f t="shared" si="11"/>
        <v>0</v>
      </c>
    </row>
    <row r="182" spans="1:7">
      <c r="A182" s="8"/>
      <c r="B182" s="8"/>
      <c r="C182" s="8"/>
      <c r="D182" s="5"/>
      <c r="E182" s="5"/>
      <c r="F182" s="6">
        <f t="shared" si="10"/>
        <v>0</v>
      </c>
      <c r="G182" s="7">
        <f t="shared" si="11"/>
        <v>0</v>
      </c>
    </row>
    <row r="183" spans="1:7">
      <c r="A183" s="8"/>
      <c r="B183" s="8"/>
      <c r="C183" s="8"/>
      <c r="D183" s="5"/>
      <c r="E183" s="5"/>
      <c r="F183" s="6">
        <f t="shared" si="10"/>
        <v>0</v>
      </c>
      <c r="G183" s="7">
        <f t="shared" si="11"/>
        <v>0</v>
      </c>
    </row>
    <row r="184" spans="1:7">
      <c r="A184" s="8"/>
      <c r="B184" s="8"/>
      <c r="C184" s="8"/>
      <c r="D184" s="5"/>
      <c r="E184" s="5"/>
      <c r="F184" s="6">
        <f t="shared" si="10"/>
        <v>0</v>
      </c>
      <c r="G184" s="7">
        <f t="shared" si="11"/>
        <v>0</v>
      </c>
    </row>
    <row r="185" spans="1:7">
      <c r="A185" s="8"/>
      <c r="B185" s="8"/>
      <c r="C185" s="8"/>
      <c r="D185" s="5"/>
      <c r="E185" s="5"/>
      <c r="F185" s="6">
        <f t="shared" si="10"/>
        <v>0</v>
      </c>
      <c r="G185" s="7">
        <f t="shared" si="11"/>
        <v>0</v>
      </c>
    </row>
  </sheetData>
  <mergeCells count="2">
    <mergeCell ref="A1:G1"/>
    <mergeCell ref="A3:G3"/>
  </mergeCells>
  <conditionalFormatting sqref="F6:F185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600-000000000000}">
          <x14:formula1>
            <xm:f>الإعدادات!$J$6:$J$17</xm:f>
          </x14:formula1>
          <xm:sqref>A6:A185</xm:sqref>
        </x14:dataValidation>
        <x14:dataValidation type="list" xr:uid="{00000000-0002-0000-0600-000001000000}">
          <x14:formula1>
            <xm:f>الإعدادات!$I$6:$I$19</xm:f>
          </x14:formula1>
          <xm:sqref>B6:B185</xm:sqref>
        </x14:dataValidation>
        <x14:dataValidation type="list" xr:uid="{00000000-0002-0000-0600-000002000000}">
          <x14:formula1>
            <xm:f>الإعدادات!$H$6:$H$7</xm:f>
          </x14:formula1>
          <xm:sqref>C6:C185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3"/>
  <sheetViews>
    <sheetView showGridLines="0" zoomScaleNormal="100" workbookViewId="0">
      <selection activeCell="D21" sqref="D21"/>
    </sheetView>
  </sheetViews>
  <sheetFormatPr defaultRowHeight="14.25"/>
  <cols>
    <col min="1" max="1" width="22" customWidth="1"/>
    <col min="2" max="2" width="16" customWidth="1"/>
    <col min="4" max="4" width="22" customWidth="1"/>
    <col min="5" max="5" width="20" customWidth="1"/>
    <col min="6" max="6" width="18" customWidth="1"/>
    <col min="8" max="8" width="15" customWidth="1"/>
    <col min="9" max="9" width="18" customWidth="1"/>
    <col min="10" max="10" width="14" customWidth="1"/>
    <col min="11" max="11" width="16" customWidth="1"/>
  </cols>
  <sheetData>
    <row r="1" spans="1:11" ht="32.1" customHeight="1">
      <c r="A1" s="13" t="s">
        <v>127</v>
      </c>
      <c r="B1" s="13" t="s">
        <v>127</v>
      </c>
      <c r="C1" s="13" t="s">
        <v>127</v>
      </c>
      <c r="D1" s="13" t="s">
        <v>127</v>
      </c>
      <c r="E1" s="13" t="s">
        <v>127</v>
      </c>
      <c r="F1" s="13" t="s">
        <v>127</v>
      </c>
      <c r="G1" s="2"/>
      <c r="H1" s="2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0.100000000000001" customHeight="1">
      <c r="A3" s="14" t="s">
        <v>128</v>
      </c>
      <c r="B3" s="14" t="s">
        <v>128</v>
      </c>
      <c r="C3" s="14" t="s">
        <v>128</v>
      </c>
      <c r="D3" s="14" t="s">
        <v>128</v>
      </c>
      <c r="E3" s="14" t="s">
        <v>128</v>
      </c>
      <c r="F3" s="14" t="s">
        <v>128</v>
      </c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30" customHeight="1">
      <c r="A5" s="1" t="s">
        <v>129</v>
      </c>
      <c r="B5" s="1" t="s">
        <v>130</v>
      </c>
      <c r="C5" s="2"/>
      <c r="D5" s="1" t="s">
        <v>131</v>
      </c>
      <c r="E5" s="1" t="s">
        <v>132</v>
      </c>
      <c r="F5" s="1" t="s">
        <v>133</v>
      </c>
      <c r="G5" s="2"/>
      <c r="H5" s="1" t="s">
        <v>134</v>
      </c>
      <c r="I5" s="1" t="s">
        <v>135</v>
      </c>
      <c r="J5" s="1" t="s">
        <v>136</v>
      </c>
      <c r="K5" s="1" t="s">
        <v>137</v>
      </c>
    </row>
    <row r="6" spans="1:11">
      <c r="A6" s="2" t="s">
        <v>138</v>
      </c>
      <c r="B6" s="8">
        <v>2026</v>
      </c>
      <c r="C6" s="2"/>
      <c r="D6" s="2" t="s">
        <v>139</v>
      </c>
      <c r="E6" s="2" t="s">
        <v>19</v>
      </c>
      <c r="F6" s="2" t="s">
        <v>140</v>
      </c>
      <c r="G6" s="2"/>
      <c r="H6" s="2" t="s">
        <v>141</v>
      </c>
      <c r="I6" s="2" t="s">
        <v>142</v>
      </c>
      <c r="J6" s="2" t="s">
        <v>143</v>
      </c>
      <c r="K6" s="2" t="s">
        <v>144</v>
      </c>
    </row>
    <row r="7" spans="1:11">
      <c r="A7" s="2"/>
      <c r="B7" s="2"/>
      <c r="C7" s="2"/>
      <c r="D7" s="2" t="s">
        <v>145</v>
      </c>
      <c r="E7" s="2" t="s">
        <v>20</v>
      </c>
      <c r="F7" s="2" t="s">
        <v>146</v>
      </c>
      <c r="G7" s="2"/>
      <c r="H7" s="2" t="s">
        <v>147</v>
      </c>
      <c r="I7" s="2" t="s">
        <v>148</v>
      </c>
      <c r="J7" s="2" t="s">
        <v>149</v>
      </c>
      <c r="K7" s="2" t="s">
        <v>150</v>
      </c>
    </row>
    <row r="8" spans="1:11">
      <c r="A8" s="2"/>
      <c r="B8" s="2"/>
      <c r="C8" s="2"/>
      <c r="D8" s="2" t="s">
        <v>151</v>
      </c>
      <c r="E8" s="2" t="s">
        <v>21</v>
      </c>
      <c r="F8" s="2" t="s">
        <v>152</v>
      </c>
      <c r="G8" s="2"/>
      <c r="H8" s="2"/>
      <c r="I8" s="2" t="s">
        <v>153</v>
      </c>
      <c r="J8" s="2" t="s">
        <v>154</v>
      </c>
      <c r="K8" s="2" t="s">
        <v>155</v>
      </c>
    </row>
    <row r="9" spans="1:11">
      <c r="A9" s="2"/>
      <c r="B9" s="2"/>
      <c r="C9" s="2"/>
      <c r="D9" s="2" t="s">
        <v>156</v>
      </c>
      <c r="E9" s="2" t="s">
        <v>22</v>
      </c>
      <c r="F9" s="2" t="s">
        <v>157</v>
      </c>
      <c r="G9" s="2"/>
      <c r="H9" s="2"/>
      <c r="I9" s="2" t="s">
        <v>158</v>
      </c>
      <c r="J9" s="2" t="s">
        <v>159</v>
      </c>
      <c r="K9" s="2" t="s">
        <v>160</v>
      </c>
    </row>
    <row r="10" spans="1:11">
      <c r="A10" s="2"/>
      <c r="B10" s="2"/>
      <c r="C10" s="2"/>
      <c r="D10" s="2" t="s">
        <v>161</v>
      </c>
      <c r="E10" s="2" t="s">
        <v>23</v>
      </c>
      <c r="F10" s="2"/>
      <c r="G10" s="2"/>
      <c r="H10" s="2"/>
      <c r="I10" s="2" t="s">
        <v>162</v>
      </c>
      <c r="J10" s="2" t="s">
        <v>163</v>
      </c>
      <c r="K10" s="2" t="s">
        <v>164</v>
      </c>
    </row>
    <row r="11" spans="1:11">
      <c r="A11" s="2"/>
      <c r="B11" s="2"/>
      <c r="C11" s="2"/>
      <c r="D11" s="2" t="s">
        <v>165</v>
      </c>
      <c r="E11" s="2"/>
      <c r="F11" s="2"/>
      <c r="G11" s="2"/>
      <c r="H11" s="2"/>
      <c r="I11" s="2" t="s">
        <v>166</v>
      </c>
      <c r="J11" s="2" t="s">
        <v>167</v>
      </c>
      <c r="K11" s="2" t="s">
        <v>168</v>
      </c>
    </row>
    <row r="12" spans="1:11">
      <c r="A12" s="2"/>
      <c r="B12" s="2"/>
      <c r="C12" s="2"/>
      <c r="D12" s="2" t="s">
        <v>169</v>
      </c>
      <c r="E12" s="2"/>
      <c r="F12" s="2"/>
      <c r="G12" s="2"/>
      <c r="H12" s="2"/>
      <c r="I12" s="2" t="s">
        <v>170</v>
      </c>
      <c r="J12" s="2" t="s">
        <v>171</v>
      </c>
      <c r="K12" s="2"/>
    </row>
    <row r="13" spans="1:11">
      <c r="A13" s="2"/>
      <c r="B13" s="2"/>
      <c r="C13" s="2"/>
      <c r="D13" s="2" t="s">
        <v>168</v>
      </c>
      <c r="E13" s="2"/>
      <c r="F13" s="2"/>
      <c r="G13" s="2"/>
      <c r="H13" s="2"/>
      <c r="I13" s="2" t="s">
        <v>172</v>
      </c>
      <c r="J13" s="2" t="s">
        <v>173</v>
      </c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 t="s">
        <v>139</v>
      </c>
      <c r="J14" s="2" t="s">
        <v>174</v>
      </c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 t="s">
        <v>156</v>
      </c>
      <c r="J15" s="2" t="s">
        <v>175</v>
      </c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 t="s">
        <v>176</v>
      </c>
      <c r="J16" s="2" t="s">
        <v>177</v>
      </c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 t="s">
        <v>178</v>
      </c>
      <c r="J17" s="2" t="s">
        <v>179</v>
      </c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 t="s">
        <v>180</v>
      </c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 t="s">
        <v>168</v>
      </c>
      <c r="J19" s="2"/>
      <c r="K19" s="2"/>
    </row>
    <row r="20" spans="1:11" ht="15">
      <c r="A20" s="11" t="s">
        <v>181</v>
      </c>
      <c r="B20" s="12" t="s">
        <v>182</v>
      </c>
    </row>
    <row r="21" spans="1:11" ht="57">
      <c r="A21" s="36" t="s">
        <v>183</v>
      </c>
      <c r="B21" s="12" t="s">
        <v>184</v>
      </c>
    </row>
    <row r="22" spans="1:11" ht="29.25">
      <c r="A22" s="11" t="s">
        <v>185</v>
      </c>
      <c r="B22" s="12" t="s">
        <v>186</v>
      </c>
    </row>
    <row r="23" spans="1:11" ht="29.25">
      <c r="A23" s="11" t="s">
        <v>187</v>
      </c>
      <c r="B23" s="12" t="s">
        <v>188</v>
      </c>
    </row>
  </sheetData>
  <mergeCells count="2">
    <mergeCell ref="A1:F1"/>
    <mergeCell ref="A3:F3"/>
  </mergeCells>
  <dataValidations count="1">
    <dataValidation type="whole" sqref="B6" xr:uid="{00000000-0002-0000-0700-000000000000}">
      <formula1>2020</formula1>
      <formula2>2100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الرصيد</vt:lpstr>
      <vt:lpstr>المدخرات والاستثمار</vt:lpstr>
      <vt:lpstr>الأهداف</vt:lpstr>
      <vt:lpstr>العادات</vt:lpstr>
      <vt:lpstr>الامتنان</vt:lpstr>
      <vt:lpstr>الميزانية</vt:lpstr>
      <vt:lpstr>الإعدادات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2026-08-23T16:22:17Z</dcterms:created>
  <dcterms:modified xsi:type="dcterms:W3CDTF">2026-08-23T16:22:17Z</dcterms:modified>
</cp:coreProperties>
</file>